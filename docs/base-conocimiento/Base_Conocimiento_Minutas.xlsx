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EME" sheetId="1" state="visible" r:id="rId1"/>
    <sheet xmlns:r="http://schemas.openxmlformats.org/officeDocument/2006/relationships" name="resumen" sheetId="2" state="visible" r:id="rId2"/>
    <sheet xmlns:r="http://schemas.openxmlformats.org/officeDocument/2006/relationships" name="kb_minuta" sheetId="3" state="visible" r:id="rId3"/>
    <sheet xmlns:r="http://schemas.openxmlformats.org/officeDocument/2006/relationships" name="kb_minuta_respuesta" sheetId="4" state="visible" r:id="rId4"/>
    <sheet xmlns:r="http://schemas.openxmlformats.org/officeDocument/2006/relationships" name="kb_minuta_hallazgo" sheetId="5" state="visible" r:id="rId5"/>
    <sheet xmlns:r="http://schemas.openxmlformats.org/officeDocument/2006/relationships" name="kb_minuta_recomendacion" sheetId="6" state="visible" r:id="rId6"/>
    <sheet xmlns:r="http://schemas.openxmlformats.org/officeDocument/2006/relationships" name="kb_minuta_equipo" sheetId="7" state="visible" r:id="rId7"/>
    <sheet xmlns:r="http://schemas.openxmlformats.org/officeDocument/2006/relationships" name="kb_minuta_evidencia" sheetId="8" state="visible" r:id="rId8"/>
    <sheet xmlns:r="http://schemas.openxmlformats.org/officeDocument/2006/relationships" name="kb_regla_recomendacion" sheetId="9" state="visible" r:id="rId9"/>
    <sheet xmlns:r="http://schemas.openxmlformats.org/officeDocument/2006/relationships" name="kb_regla_validacion" sheetId="10" state="visible" r:id="rId10"/>
    <sheet xmlns:r="http://schemas.openxmlformats.org/officeDocument/2006/relationships" name="kb_equipo" sheetId="11" state="visible" r:id="rId11"/>
    <sheet xmlns:r="http://schemas.openxmlformats.org/officeDocument/2006/relationships" name="kb_umbral" sheetId="12" state="visible" r:id="rId12"/>
    <sheet xmlns:r="http://schemas.openxmlformats.org/officeDocument/2006/relationships" name="ref_preguntas" sheetId="13" state="visible" r:id="rId13"/>
    <sheet xmlns:r="http://schemas.openxmlformats.org/officeDocument/2006/relationships" name="kb_decision_impresion" sheetId="14" state="visible" r:id="rId14"/>
    <sheet xmlns:r="http://schemas.openxmlformats.org/officeDocument/2006/relationships" name="kb_decision_internet" sheetId="15" state="visible" r:id="rId15"/>
    <sheet xmlns:r="http://schemas.openxmlformats.org/officeDocument/2006/relationships" name="kb_area_preparacion" sheetId="16" state="visible" r:id="rId16"/>
    <sheet xmlns:r="http://schemas.openxmlformats.org/officeDocument/2006/relationships" name="kb_requisito_equipo" sheetId="17" state="visible" r:id="rId17"/>
    <sheet xmlns:r="http://schemas.openxmlformats.org/officeDocument/2006/relationships" name="kb_tramo_plan" sheetId="18" state="visible" r:id="rId18"/>
    <sheet xmlns:r="http://schemas.openxmlformats.org/officeDocument/2006/relationships" name="kb_puntaje_conectividad" sheetId="19" state="visible" r:id="rId19"/>
    <sheet xmlns:r="http://schemas.openxmlformats.org/officeDocument/2006/relationships" name="kb_texto_minuta" sheetId="20" state="visible" r:id="rId20"/>
    <sheet xmlns:r="http://schemas.openxmlformats.org/officeDocument/2006/relationships" name="kb_accion_siguiente" sheetId="21" state="visible" r:id="rId21"/>
    <sheet xmlns:r="http://schemas.openxmlformats.org/officeDocument/2006/relationships" name="kb_observacion_opcion" sheetId="22" state="visible" r:id="rId22"/>
    <sheet xmlns:r="http://schemas.openxmlformats.org/officeDocument/2006/relationships" name="kb_minuta_observacion" sheetId="23" state="visible" r:id="rId23"/>
    <sheet xmlns:r="http://schemas.openxmlformats.org/officeDocument/2006/relationships" name="kb_canal_atencion" sheetId="24" state="visible" r:id="rId24"/>
    <sheet xmlns:r="http://schemas.openxmlformats.org/officeDocument/2006/relationships" name="kb_evidencia_obligatoria" sheetId="25" state="visible" r:id="rId25"/>
    <sheet xmlns:r="http://schemas.openxmlformats.org/officeDocument/2006/relationships" name="kb_clasificacion_escaner" sheetId="26" state="visible" r:id="rId26"/>
    <sheet xmlns:r="http://schemas.openxmlformats.org/officeDocument/2006/relationships" name="kb_evidencia_tipo" sheetId="27" state="visible" r:id="rId27"/>
    <sheet xmlns:r="http://schemas.openxmlformats.org/officeDocument/2006/relationships" name="kb_evidencia_referencia" sheetId="28" state="visible" r:id="rId28"/>
    <sheet xmlns:r="http://schemas.openxmlformats.org/officeDocument/2006/relationships" name="kb_prueba_retrospectiva" sheetId="29" state="visible" r:id="rId29"/>
    <sheet xmlns:r="http://schemas.openxmlformats.org/officeDocument/2006/relationships" name="kb_perfil_rubro" sheetId="30" state="visible" r:id="rId30"/>
    <sheet xmlns:r="http://schemas.openxmlformats.org/officeDocument/2006/relationships" name="kb_perfil_como_funciona" sheetId="31" state="visible" r:id="rId31"/>
    <sheet xmlns:r="http://schemas.openxmlformats.org/officeDocument/2006/relationships" name="archivos_no_cargados" sheetId="32" state="visible" r:id="rId32"/>
    <sheet xmlns:r="http://schemas.openxmlformats.org/officeDocument/2006/relationships" name="revisar_vs_regla" sheetId="33" state="visible" r:id="rId33"/>
    <sheet xmlns:r="http://schemas.openxmlformats.org/officeDocument/2006/relationships" name="catalogos" sheetId="34" state="visible" r:id="rId34"/>
    <sheet xmlns:r="http://schemas.openxmlformats.org/officeDocument/2006/relationships" name="diccionario" sheetId="35" state="visible" r:id="rId35"/>
  </sheets>
  <definedNames/>
  <calcPr calcId="124519" fullCalcOnLoad="1"/>
</workbook>
</file>

<file path=xl/styles.xml><?xml version="1.0" encoding="utf-8"?>
<styleSheet xmlns="http://schemas.openxmlformats.org/spreadsheetml/2006/main">
  <numFmts count="1">
    <numFmt numFmtId="164" formatCode="yyyy-mm-dd"/>
  </numFmts>
  <fonts count="8">
    <font>
      <name val="Calibri"/>
      <family val="2"/>
      <color theme="1"/>
      <sz val="11"/>
      <scheme val="minor"/>
    </font>
    <font>
      <name val="Arial"/>
      <b val="1"/>
      <color rgb="00FFFFFF"/>
      <sz val="10"/>
    </font>
    <font>
      <name val="Arial"/>
      <sz val="10"/>
    </font>
    <font>
      <name val="Arial"/>
      <b val="1"/>
      <sz val="10"/>
    </font>
    <font>
      <name val="Arial"/>
      <i val="1"/>
      <color rgb="006B7280"/>
      <sz val="9"/>
    </font>
    <font>
      <name val="Arial"/>
      <b val="1"/>
      <color rgb="001565C0"/>
      <sz val="14"/>
    </font>
    <font>
      <name val="Arial"/>
      <b val="1"/>
      <color rgb="00000000"/>
      <sz val="10"/>
    </font>
    <font>
      <name val="Arial"/>
      <b val="1"/>
      <color rgb="00C62828"/>
      <sz val="10"/>
    </font>
  </fonts>
  <fills count="6">
    <fill>
      <patternFill/>
    </fill>
    <fill>
      <patternFill patternType="gray125"/>
    </fill>
    <fill>
      <patternFill patternType="solid">
        <fgColor rgb="001565C0"/>
      </patternFill>
    </fill>
    <fill>
      <patternFill patternType="solid">
        <fgColor rgb="00EEEEEE"/>
      </patternFill>
    </fill>
    <fill>
      <patternFill patternType="solid">
        <fgColor rgb="00FFF9C4"/>
      </patternFill>
    </fill>
    <fill>
      <patternFill patternType="solid">
        <fgColor rgb="00C62828"/>
      </patternFill>
    </fill>
  </fills>
  <borders count="2">
    <border>
      <left/>
      <right/>
      <top/>
      <bottom/>
      <diagonal/>
    </border>
    <border>
      <left style="thin">
        <color rgb="00D0D7E2"/>
      </left>
      <right style="thin">
        <color rgb="00D0D7E2"/>
      </right>
      <top style="thin">
        <color rgb="00D0D7E2"/>
      </top>
      <bottom style="thin">
        <color rgb="00D0D7E2"/>
      </bottom>
    </border>
  </borders>
  <cellStyleXfs count="1">
    <xf numFmtId="0" fontId="0" fillId="0" borderId="0"/>
  </cellStyleXfs>
  <cellXfs count="19">
    <xf numFmtId="0" fontId="0" fillId="0" borderId="0" pivotButton="0" quotePrefix="0" xfId="0"/>
    <xf numFmtId="0" fontId="5" fillId="0" borderId="0" pivotButton="0" quotePrefix="0" xfId="0"/>
    <xf numFmtId="0" fontId="2" fillId="0" borderId="0" applyAlignment="1" pivotButton="0" quotePrefix="0" xfId="0">
      <alignment vertical="top" wrapText="1"/>
    </xf>
    <xf numFmtId="0" fontId="6" fillId="0" borderId="0" pivotButton="0" quotePrefix="0" xfId="0"/>
    <xf numFmtId="0" fontId="7" fillId="0" borderId="0" pivotButton="0" quotePrefix="0" xfId="0"/>
    <xf numFmtId="0" fontId="7" fillId="0" borderId="0" applyAlignment="1" pivotButton="0" quotePrefix="0" xfId="0">
      <alignment vertical="top" wrapText="1"/>
    </xf>
    <xf numFmtId="0" fontId="1" fillId="2" borderId="1" pivotButton="0" quotePrefix="0" xfId="0"/>
    <xf numFmtId="0" fontId="2" fillId="0" borderId="1" pivotButton="0" quotePrefix="0" xfId="0"/>
    <xf numFmtId="0" fontId="4"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xf numFmtId="164" fontId="2" fillId="4" borderId="1" applyAlignment="1" pivotButton="0" quotePrefix="0" xfId="0">
      <alignment vertical="top" wrapText="1"/>
    </xf>
    <xf numFmtId="0" fontId="1" fillId="5" borderId="1" applyAlignment="1" pivotButton="0" quotePrefix="0" xfId="0">
      <alignment vertical="center" wrapText="1"/>
    </xf>
    <xf numFmtId="0" fontId="3" fillId="0" borderId="0" pivotButton="0" quotePrefix="0" xfId="0"/>
    <xf numFmtId="0" fontId="2"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styles" Target="styles.xml" Id="rId36"/><Relationship Type="http://schemas.openxmlformats.org/officeDocument/2006/relationships/theme" Target="theme/theme1.xml" Id="rId3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26" customWidth="1" min="1" max="1"/>
    <col width="120" customWidth="1" min="2" max="2"/>
  </cols>
  <sheetData>
    <row r="1">
      <c r="A1" s="1" t="inlineStr">
        <is>
          <t>Base de conocimiento de minutas — Asistente Red IDBI</t>
        </is>
      </c>
      <c r="B1" s="2" t="n"/>
    </row>
    <row r="2">
      <c r="A2" s="3" t="inlineStr">
        <is>
          <t>Para qué sirve</t>
        </is>
      </c>
      <c r="B2" s="2" t="inlineStr">
        <is>
          <t>Cargar las minutas técnicas hechas a mano (PDF) en la base de datos, con el mismo vocabulario del chat de 76 nodos, para que el motor de recomendaciones aprenda de casos reales.</t>
        </is>
      </c>
    </row>
    <row r="3">
      <c r="A3" s="3" t="inlineStr">
        <is>
          <t>Qué ya trae</t>
        </is>
      </c>
      <c r="B3" s="2" t="inlineStr">
        <is>
          <t>44 minutas manuales cargadas (MH-001 a MH-044), 67 reglas de recomendación + 13 acciones estándar, 10 reglas de validación, 13 equipos y 27 umbrales.</t>
        </is>
      </c>
    </row>
    <row r="4">
      <c r="A4" s="3" t="inlineStr">
        <is>
          <t>Cómo agregar una minuta</t>
        </is>
      </c>
      <c r="B4" s="2" t="inlineStr">
        <is>
          <t>1) kb_minuta: una fila nueva con el siguiente minuta_id (MH-045…).  2) kb_minuta_respuesta: lo que el PDF responde de las preguntas del flujo (ver ref_preguntas).  3) kb_minuta_hallazgo: antecedentes, desarrollo y observaciones.  4) kb_minuta_recomendacion: cada recomendación y siguiente acción, con su regla_id.  5) kb_minuta_equipo y kb_minuta_evidencia.</t>
        </is>
      </c>
    </row>
    <row r="5">
      <c r="A5" s="3" t="inlineStr">
        <is>
          <t>Colores</t>
        </is>
      </c>
      <c r="B5" s="2" t="inlineStr">
        <is>
          <t>Amarillo = filas vacías para llenar. Gris = fórmula, no escribir. Azul = encabezado (nombre de columna en la base, no cambiar).</t>
        </is>
      </c>
    </row>
    <row r="6">
      <c r="A6" s="3" t="inlineStr">
        <is>
          <t>Valores</t>
        </is>
      </c>
      <c r="B6" s="2" t="inlineStr">
        <is>
          <t>Usa los códigos de las listas desplegables (hoja catalogos): son los mismos del flujo (ej. FAST_FOOD, CABLE_RED, SI/NO). Si la respuesta es Otro, escribe OTRO: seguido del texto (ej. OTRO: Yachay Telecomunicaciones, OTRO: Cocina 2).</t>
        </is>
      </c>
    </row>
    <row r="7">
      <c r="A7" s="3" t="inlineStr">
        <is>
          <t>Respuestas</t>
        </is>
      </c>
      <c r="B7" s="2" t="inlineStr">
        <is>
          <t>confianza = EXPLICITO si la minuta lo dice tal cual; INFERIDO si se deduce. alcance solo para preguntas que se repiten (L_CAJAS:1, L_IMPRESORAS:2).</t>
        </is>
      </c>
    </row>
    <row r="8">
      <c r="A8" s="3" t="inlineStr">
        <is>
          <t>Recomendaciones</t>
        </is>
      </c>
      <c r="B8" s="2" t="inlineStr">
        <is>
          <t>Cada fila debe tener regla_id. Si ninguna regla calza, crea una nueva en kb_regla_recomendacion (R29, R30…) y úsala. La hoja resumen avisa cuántas quedan sin regla.</t>
        </is>
      </c>
    </row>
    <row r="9">
      <c r="A9" s="3" t="inlineStr">
        <is>
          <t>Estado del local</t>
        </is>
      </c>
      <c r="B9" s="2" t="inlineStr">
        <is>
          <t>P08 ya no es el motivo de visita: es el estado del local (En operación, En obra, Por inaugurar, Ya cuenta con un sistema de punto de venta anterior, Otro). En las minutas cargadas solo se llenó donde la minuta lo deja claro; las demás quedan en blanco.</t>
        </is>
      </c>
    </row>
    <row r="10">
      <c r="A10" s="3" t="inlineStr">
        <is>
          <t>Pasos a seguir, observaciones y anexos</t>
        </is>
      </c>
      <c r="B10" s="2" t="inlineStr">
        <is>
          <t>Los pasos a seguir (cliente / ID) se generan solos y el técnico los edita (hoja kb_accion_siguiente). Después del análisis se abre un apartado de observaciones con selección múltiple: observaciones del técnico, serie de facturación, ¿el cliente acepta la recomendación? (Sí/No/Otro), método de pago y Otro (hoja kb_observacion_opcion). Va en la minuta después de las recomendaciones. Los enlaces de video del local van como anexos (P49a).</t>
        </is>
      </c>
    </row>
    <row r="11">
      <c r="A11" s="3" t="inlineStr">
        <is>
          <t>Speedtest y WiFi por zona</t>
        </is>
      </c>
      <c r="B11" s="2" t="inlineStr">
        <is>
          <t>El speedtest del plan (E1) se hace por cable directo al router principal (Cat6, puerto RJ45 gigabit); por WiFi no vale. V01: la mejor de 2 pruebas por cable debe llegar al 70 % del plan; entre 85 y 95 Mbps con plan mayor = limitada a 100 Mbps (R65); ping con carga &gt; 300 ms = saturación (R66, observación). El WiFi se revisa por zona (opcional) con umbrales para el punto de venta (kb_umbral).</t>
        </is>
      </c>
    </row>
    <row r="12">
      <c r="A12" s="3" t="inlineStr">
        <is>
          <t>Canales y evidencias</t>
        </is>
      </c>
      <c r="B12" s="2" t="inlineStr">
        <is>
          <t>Canales de atención (Mesa, Recojo, Para llevar, Backoffice, Delivery, Otro) con sus zonas sugeridas + Otro (hoja kb_canal_atencion). Fotos obligatorias: frontis, cada lugar de preparación, cada zona de atención y cada caja (hoja kb_evidencia_obligatoria). La IA valida que la foto sea la pedida y legible comparándola con el dataset de referencias (hojas kb_evidencia_tipo y kb_evidencia_referencia).</t>
        </is>
      </c>
    </row>
    <row r="13">
      <c r="A13" s="3" t="inlineStr">
        <is>
          <t>Prueba retrospectiva</t>
        </is>
      </c>
      <c r="B13" s="2" t="inlineStr">
        <is>
          <t>Motor vs. minutas reales: 81.7 % de coincidencia en 126 decisiones comparables (hoja kb_prueba_retrospectiva).</t>
        </is>
      </c>
    </row>
    <row r="14">
      <c r="A14" s="4" t="inlineStr">
        <is>
          <t>Credenciales (CONFIDENCIAL)</t>
        </is>
      </c>
      <c r="B14" s="5" t="inlineStr">
        <is>
          <t>Las claves WiFi, la clave y el usuario del router, el usuario del equipo y el ID o la clave de AnyDesk que trae la evidencia van SOLO en la hoja kb_minuta_credencial (pestaña roja), nunca en las demás hojas. En la base: tabla kb_minuta_credencial con la clave cifrada y acceso solo para administradores. El Excel no tiene contraseña: se versiona en el repositorio privado del proyecto.</t>
        </is>
      </c>
    </row>
    <row r="15">
      <c r="A15" s="3" t="inlineStr">
        <is>
          <t>NO cargar</t>
        </is>
      </c>
      <c r="B15" s="2" t="inlineStr">
        <is>
          <t>RUC, cuentas bancarias o datos personales que no estén en la minuta.</t>
        </is>
      </c>
    </row>
    <row r="16">
      <c r="A16" s="4" t="inlineStr">
        <is>
          <t>Producción</t>
        </is>
      </c>
      <c r="B16" s="5" t="inlineStr">
        <is>
          <t>Este Excel se carga SOLO en un entorno local o de pruebas. No se sube nada a GitHub main ni a Railway (main despliega solo).</t>
        </is>
      </c>
    </row>
    <row r="17">
      <c r="A17" s="3" t="inlineStr">
        <is>
          <t>Impresión IDPos</t>
        </is>
      </c>
      <c r="B17" s="2" t="inlineStr">
        <is>
          <t>Hoja kb_decision_impresion: con PC o laptop + controlador, la impresora USB imprime comandas, pre-cuentas y comprobantes. Sin PC ni laptop: kit Raspberry SOLO si las impresoras son de red (una USB solo funciona con laptop o PC). Sin comandas, basta una laptop o PC básica con USB y no hace falta controlador. P12a y P22e son preguntas propuestas.</t>
        </is>
      </c>
    </row>
    <row r="18">
      <c r="A18" s="3" t="inlineStr">
        <is>
          <t>Comandas, Sunmi e internet</t>
        </is>
      </c>
      <c r="B18" s="2" t="inlineStr">
        <is>
          <t>Necesita comandas = hay áreas de preparación fuera de caja (hoja kb_area_preparacion). Si la comanda sale solo en caja: Sunmi con chip. Sin fibra ni cable coaxial (P14 = Inalámbrica o No sé; 'No sé' se toma como sin internet): probar la señal del chip (Entel/Claro) con un celular y, si hay comandas, router con chip (hoja kb_decision_internet). Raspberry y Sunmi se cotizan con Desarrollo de Negocios. Impresoras de áreas de preparación: siempre de red por cable. Caja con tablet (o solo tablets): Raspberry obligatorio. La minuta debe incluir el aviso: si no se siguen las recomendaciones, no es viable la implementación del punto de venta (hoja kb_texto_minuta).</t>
        </is>
      </c>
    </row>
    <row r="19">
      <c r="A19" s="3" t="inlineStr">
        <is>
          <t>Puertos, energía y WiFi</t>
        </is>
      </c>
      <c r="B19" s="2" t="inlineStr">
        <is>
          <t>Si los equipos por cable superan los puertos libres del router: switch e indicar cuántos puntos de red implementar (un extremo en el router/switch y el otro junto a cada equipo). Cada equipo de red necesita toma cerca; si no, punto de energía adicional o extensión (hoja kb_requisito_equipo). Zonas sin señal: repetidor o access point; el primero con red y energía, el segundo repetidor solo energía. Todo el local debe tener WiFi para que los meseros comanden.</t>
        </is>
      </c>
    </row>
    <row r="20">
      <c r="A20" s="3" t="inlineStr">
        <is>
          <t>Puntaje de Conectividad</t>
        </is>
      </c>
      <c r="B20" s="2" t="inlineStr">
        <is>
          <t>Sin internet (P14 = No tiene o No sé): 0 %. Según el plan contratado (hoja kb_tramo_plan): hasta 399 Mbps 30 %, 400–699 60 %, 700–899 80 %, 900 o más 100 %. Si falta WiFi en alguna zona de atención: −10 una sola vez y OBSERVADO. Se necesitan 200 Mbps por salón. Con cámaras: plan de 1000 Mbps y red de cámaras separada (hoja kb_puntaje_conectividad).</t>
        </is>
      </c>
    </row>
    <row r="21">
      <c r="A21" s="3" t="inlineStr">
        <is>
          <t>Rubros y perfiles</t>
        </is>
      </c>
      <c r="B21" s="2" t="inlineStr">
        <is>
          <t>P09 combina rubro y tipo de comida (15 opciones). Cada rubro carga un perfil (hoja kb_perfil_rubro): áreas sugeridas que se confirman con un toque (P11e), caja que comparte área (P12e), preguntas que se ocultan ('No aplica (por rubro)') y reglas que se activan. R56 (cualquier rubro): TP-Link con chip y plan básico, solo para impresoras y sistema de impresiones, si hay caídas (P17), no hay proveedor (P14 = No tiene o No sé) o la dirección menciona el patio de comidas de un centro comercial grande (Refugio, Larcomar, Real Plaza, Jockey, Plaza Norte, MegaPlaza, Open Plaza…). Un C.C. pequeño no cuenta. Unifica R01 y R45. Pizzería y Chifa son perfiles supuestos (sin minutas). Reglas R58–R64: propuestas, por confirmar.</t>
        </is>
      </c>
    </row>
    <row r="22">
      <c r="A22" s="3" t="inlineStr">
        <is>
          <t>Áreas, cajas y segmento</t>
        </is>
      </c>
      <c r="B22" s="2" t="inlineStr">
        <is>
          <t>Proveedor Otro: se escribe el nombre (P13a). Discoteca, Bar o Restobar muestran Barra 1–3 y Cocina 1–2; con Otro se escribe el área (P11b) y se pregunta si es de preparación. Ubicación por área: Piso 1…N, Terraza u Otro (escribir). Con más de una caja: cada barra se asocia a una caja. Impresoras: deben estar en el segmento del router (gateway del ipconfig E4); si no, aviso al técnico (R55).</t>
        </is>
      </c>
    </row>
    <row r="23">
      <c r="A23" s="3" t="inlineStr">
        <is>
          <t>Detalle técnico</t>
        </is>
      </c>
      <c r="B23" s="2" t="inlineStr">
        <is>
          <t>docs/base-conocimiento/BASE_CONOCIMIENTO_MINUTAS.md explica las tablas, el importador y cómo usarlas en las recomendaciones.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cols>
    <col width="44" customWidth="1" min="1" max="1"/>
    <col width="10" customWidth="1" min="2" max="2"/>
    <col width="44" customWidth="1" min="3" max="3"/>
  </cols>
  <sheetData>
    <row r="1">
      <c r="A1" s="6" t="inlineStr">
        <is>
          <t>Indicador</t>
        </is>
      </c>
      <c r="B1" s="6" t="inlineStr">
        <is>
          <t>Valor</t>
        </is>
      </c>
      <c r="C1" s="6" t="inlineStr">
        <is>
          <t>Cómo se calcula</t>
        </is>
      </c>
    </row>
    <row r="2">
      <c r="A2" s="7" t="inlineStr">
        <is>
          <t>Minutas cargadas</t>
        </is>
      </c>
      <c r="B2" s="7">
        <f>COUNTA(kb_minuta!$A$2:$A$2000)</f>
        <v/>
      </c>
      <c r="C2" s="7" t="inlineStr">
        <is>
          <t>Filas con minuta_id en kb_minuta</t>
        </is>
      </c>
    </row>
    <row r="3">
      <c r="A3" s="7" t="inlineStr">
        <is>
          <t>Respuestas del flujo extraídas</t>
        </is>
      </c>
      <c r="B3" s="7">
        <f>COUNTA(kb_minuta_respuesta!$A$2:$A$2000)</f>
        <v/>
      </c>
      <c r="C3" s="7" t="inlineStr">
        <is>
          <t>Filas en kb_minuta_respuesta</t>
        </is>
      </c>
    </row>
    <row r="4">
      <c r="A4" s="7" t="inlineStr">
        <is>
          <t xml:space="preserve">   · explícitas</t>
        </is>
      </c>
      <c r="B4" s="7">
        <f>COUNTIF(kb_minuta_respuesta!$E$2:$E$2000,"EXPLICITO")</f>
        <v/>
      </c>
      <c r="C4" s="7" t="inlineStr"/>
    </row>
    <row r="5">
      <c r="A5" s="7" t="inlineStr">
        <is>
          <t xml:space="preserve">   · inferidas</t>
        </is>
      </c>
      <c r="B5" s="7">
        <f>COUNTIF(kb_minuta_respuesta!$E$2:$E$2000,"INFERIDO")</f>
        <v/>
      </c>
      <c r="C5" s="7" t="inlineStr"/>
    </row>
    <row r="6">
      <c r="A6" s="7" t="inlineStr">
        <is>
          <t>Hallazgos</t>
        </is>
      </c>
      <c r="B6" s="7">
        <f>COUNTA(kb_minuta_hallazgo!$A$2:$A$2000)</f>
        <v/>
      </c>
      <c r="C6" s="7" t="inlineStr"/>
    </row>
    <row r="7">
      <c r="A7" s="7" t="inlineStr">
        <is>
          <t>Recomendaciones (sin acciones)</t>
        </is>
      </c>
      <c r="B7" s="7">
        <f>COUNTIF(kb_minuta_recomendacion!$C$2:$C$2000,"RECOMENDACION")</f>
        <v/>
      </c>
      <c r="C7" s="7" t="inlineStr"/>
    </row>
    <row r="8">
      <c r="A8" s="7" t="inlineStr">
        <is>
          <t>Siguientes acciones</t>
        </is>
      </c>
      <c r="B8" s="7">
        <f>COUNTIF(kb_minuta_recomendacion!$C$2:$C$2000,"ACCION*")</f>
        <v/>
      </c>
      <c r="C8" s="7" t="inlineStr">
        <is>
          <t>ACCION_ID + ACCION_CLIENTE</t>
        </is>
      </c>
    </row>
    <row r="9">
      <c r="A9" s="7" t="inlineStr">
        <is>
          <t>Recomendaciones sin regla vinculada</t>
        </is>
      </c>
      <c r="B9" s="7">
        <f>COUNTIFS(kb_minuta_recomendacion!$A$2:$A$2000,"&lt;&gt;",kb_minuta_recomendacion!$D$2:$D$2000,"")</f>
        <v/>
      </c>
      <c r="C9" s="7" t="inlineStr">
        <is>
          <t>Deben quedar en 0 antes de cargar</t>
        </is>
      </c>
    </row>
    <row r="10">
      <c r="A10" s="7" t="inlineStr">
        <is>
          <t>Reglas en la base</t>
        </is>
      </c>
      <c r="B10" s="7">
        <f>COUNTA(kb_regla_recomendacion!$A$2:$A$200)</f>
        <v/>
      </c>
      <c r="C10" s="7" t="inlineStr"/>
    </row>
    <row r="11">
      <c r="A11" s="7" t="inlineStr">
        <is>
          <t>Reglas respaldadas por al menos una minuta</t>
        </is>
      </c>
      <c r="B11" s="7">
        <f>COUNTIF(kb_regla_recomendacion!$M$2:$M$200,"&gt;0")</f>
        <v/>
      </c>
      <c r="C11" s="7" t="inlineStr"/>
    </row>
    <row r="12">
      <c r="A12" s="7" t="inlineStr">
        <is>
          <t>Equipos registrados en minutas</t>
        </is>
      </c>
      <c r="B12" s="7">
        <f>COUNTA(kb_minuta_equipo!$A$2:$A$2000)</f>
        <v/>
      </c>
      <c r="C12" s="7" t="inlineStr"/>
    </row>
    <row r="13">
      <c r="A13" s="7" t="inlineStr">
        <is>
          <t>Evidencias referenciadas</t>
        </is>
      </c>
      <c r="B13" s="7">
        <f>COUNTA(kb_minuta_evidencia!$A$2:$A$2000)</f>
        <v/>
      </c>
      <c r="C13" s="7" t="inlineStr"/>
    </row>
    <row r="14">
      <c r="A14" s="7" t="inlineStr">
        <is>
          <t>Credenciales (confidencial)</t>
        </is>
      </c>
      <c r="B14" s="7">
        <f>COUNTA(kb_minuta_credencial!$A$2:$A$2000)</f>
        <v/>
      </c>
      <c r="C14" s="7" t="inlineStr">
        <is>
          <t>Hoja kb_minuta_credencial</t>
        </is>
      </c>
    </row>
    <row r="16">
      <c r="A16" s="8" t="inlineStr">
        <is>
          <t>Top reglas por frecuencia en minutas: ordena la hoja kb_regla_recomendacion por veces_en_minutas.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A7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26" customWidth="1" min="3" max="3"/>
    <col width="34" customWidth="1" min="4" max="4"/>
    <col width="14" customWidth="1" min="5" max="5"/>
    <col width="12" customWidth="1" min="6" max="6"/>
    <col width="8" customWidth="1" min="7" max="7"/>
    <col width="16" customWidth="1" min="8" max="8"/>
    <col width="40" customWidth="1" min="9" max="9"/>
    <col width="14" customWidth="1" min="10" max="10"/>
    <col width="7" customWidth="1" min="11" max="11"/>
    <col width="7" customWidth="1" min="12" max="12"/>
    <col width="14" customWidth="1" min="13" max="13"/>
    <col width="14" customWidth="1" min="14" max="14"/>
    <col width="12" customWidth="1" min="15" max="15"/>
    <col width="10" customWidth="1" min="16" max="16"/>
    <col width="10" customWidth="1" min="17" max="17"/>
    <col width="18" customWidth="1" min="18" max="18"/>
    <col width="12" customWidth="1" min="19" max="19"/>
    <col width="26" customWidth="1" min="20" max="20"/>
    <col width="26" customWidth="1" min="21" max="21"/>
    <col width="12" customWidth="1" min="22" max="22"/>
    <col width="16" customWidth="1" min="23" max="23"/>
    <col width="40" customWidth="1" min="24" max="24"/>
    <col width="11" customWidth="1" min="25" max="25"/>
    <col width="13" customWidth="1" min="26" max="26"/>
    <col width="10" customWidth="1" min="27" max="27"/>
  </cols>
  <sheetData>
    <row r="1" ht="34" customHeight="1">
      <c r="A1" s="9" t="inlineStr">
        <is>
          <t>minuta_id</t>
        </is>
      </c>
      <c r="B1" s="9" t="inlineStr">
        <is>
          <t>nombre_cliente</t>
        </is>
      </c>
      <c r="C1" s="9" t="inlineStr">
        <is>
          <t>nombre_local</t>
        </is>
      </c>
      <c r="D1" s="9" t="inlineStr">
        <is>
          <t>direccion</t>
        </is>
      </c>
      <c r="E1" s="9" t="inlineStr">
        <is>
          <t>distrito</t>
        </is>
      </c>
      <c r="F1" s="9" t="inlineStr">
        <is>
          <t>fecha_visita</t>
        </is>
      </c>
      <c r="G1" s="9" t="inlineStr">
        <is>
          <t>hora</t>
        </is>
      </c>
      <c r="H1" s="9" t="inlineStr">
        <is>
          <t>estado_local</t>
        </is>
      </c>
      <c r="I1" s="9" t="inlineStr">
        <is>
          <t>antecedentes</t>
        </is>
      </c>
      <c r="J1" s="9" t="inlineStr">
        <is>
          <t>tipo_negocio</t>
        </is>
      </c>
      <c r="K1" s="9" t="inlineStr">
        <is>
          <t>pisos</t>
        </is>
      </c>
      <c r="L1" s="9" t="inlineStr">
        <is>
          <t>cajas</t>
        </is>
      </c>
      <c r="M1" s="9" t="inlineStr">
        <is>
          <t>proveedor_internet</t>
        </is>
      </c>
      <c r="N1" s="9" t="inlineStr">
        <is>
          <t>tipo_conexion</t>
        </is>
      </c>
      <c r="O1" s="9" t="inlineStr">
        <is>
          <t>velocidad_contratada_mbps</t>
        </is>
      </c>
      <c r="P1" s="9" t="inlineStr">
        <is>
          <t>bajada_mbps</t>
        </is>
      </c>
      <c r="Q1" s="9" t="inlineStr">
        <is>
          <t>subida_mbps</t>
        </is>
      </c>
      <c r="R1" s="9" t="inlineStr">
        <is>
          <t>segmento_red</t>
        </is>
      </c>
      <c r="S1" s="9" t="inlineStr">
        <is>
          <t>estado_final</t>
        </is>
      </c>
      <c r="T1" s="9" t="inlineStr">
        <is>
          <t>asistentes_id</t>
        </is>
      </c>
      <c r="U1" s="9" t="inlineStr">
        <is>
          <t>contacto_cliente</t>
        </is>
      </c>
      <c r="V1" s="9" t="inlineStr">
        <is>
          <t>requiere_segunda_visita</t>
        </is>
      </c>
      <c r="W1" s="9" t="inlineStr">
        <is>
          <t>archivo_pdf</t>
        </is>
      </c>
      <c r="X1" s="9" t="inlineStr">
        <is>
          <t>observaciones_carga</t>
        </is>
      </c>
      <c r="Y1" s="9" t="inlineStr">
        <is>
          <t>n_respuestas</t>
        </is>
      </c>
      <c r="Z1" s="9" t="inlineStr">
        <is>
          <t>n_recomendaciones</t>
        </is>
      </c>
      <c r="AA1" s="9" t="inlineStr">
        <is>
          <t>n_acciones</t>
        </is>
      </c>
    </row>
    <row r="2">
      <c r="A2" s="10" t="inlineStr">
        <is>
          <t>MH-001</t>
        </is>
      </c>
      <c r="B2" s="10" t="inlineStr">
        <is>
          <t>Sicilia</t>
        </is>
      </c>
      <c r="C2" s="10" t="inlineStr">
        <is>
          <t>Sicilia – Patio Gastronómico Refugio</t>
        </is>
      </c>
      <c r="D2" s="10" t="inlineStr">
        <is>
          <t>Patio Gastronómico Refugio</t>
        </is>
      </c>
      <c r="E2" s="10" t="inlineStr"/>
      <c r="F2" s="11" t="n">
        <v>45202</v>
      </c>
      <c r="G2" s="10" t="inlineStr">
        <is>
          <t>10:00</t>
        </is>
      </c>
      <c r="H2" s="10" t="inlineStr"/>
      <c r="I2" s="10" t="inlineStr">
        <is>
          <t>Entrega y configuración de impresoras, creación de tienda y zonas de trabajo en IDPos</t>
        </is>
      </c>
      <c r="J2" s="10" t="inlineStr">
        <is>
          <t>RESTAURANTE</t>
        </is>
      </c>
      <c r="K2" s="10" t="n"/>
      <c r="L2" s="10" t="n"/>
      <c r="M2" s="10" t="inlineStr"/>
      <c r="N2" s="10" t="inlineStr"/>
      <c r="O2" s="10" t="n"/>
      <c r="P2" s="10" t="n"/>
      <c r="Q2" s="10" t="n"/>
      <c r="R2" s="10" t="inlineStr"/>
      <c r="S2" s="10" t="inlineStr">
        <is>
          <t>SIN_DATO</t>
        </is>
      </c>
      <c r="T2" s="10" t="inlineStr">
        <is>
          <t>Kevin Flores, Yomira Mora</t>
        </is>
      </c>
      <c r="U2" s="10" t="inlineStr">
        <is>
          <t>Kathy</t>
        </is>
      </c>
      <c r="V2" s="10" t="inlineStr">
        <is>
          <t>SI</t>
        </is>
      </c>
      <c r="W2" s="10" t="inlineStr">
        <is>
          <t>sicilia.pdf</t>
        </is>
      </c>
      <c r="X2" s="10" t="inlineStr">
        <is>
          <t>Dirección exacta no indicada en la minuta.</t>
        </is>
      </c>
      <c r="Y2" s="12">
        <f>IF(A2="","",COUNTIF(kb_minuta_respuesta!$A$2:$A$2000,A2))</f>
        <v/>
      </c>
      <c r="Z2" s="12">
        <f>IF(A2="","",COUNTIFS(kb_minuta_recomendacion!$A$2:$A$2000,A2,kb_minuta_recomendacion!$C$2:$C$2000,"RECOMENDACION"))</f>
        <v/>
      </c>
      <c r="AA2" s="12">
        <f>IF(A2="","",COUNTIF(kb_minuta_recomendacion!$A$2:$A$2000,A2)-Z2)</f>
        <v/>
      </c>
    </row>
    <row r="3">
      <c r="A3" s="10" t="inlineStr">
        <is>
          <t>MH-002</t>
        </is>
      </c>
      <c r="B3" s="10" t="inlineStr">
        <is>
          <t>Don Oscar</t>
        </is>
      </c>
      <c r="C3" s="10" t="inlineStr">
        <is>
          <t>Don Oscar</t>
        </is>
      </c>
      <c r="D3" s="10" t="inlineStr">
        <is>
          <t>Calle Alcanfores 151, Miraflores 15074</t>
        </is>
      </c>
      <c r="E3" s="10" t="inlineStr">
        <is>
          <t>Miraflores</t>
        </is>
      </c>
      <c r="F3" s="11" t="n">
        <v>45227</v>
      </c>
      <c r="G3" s="10" t="inlineStr">
        <is>
          <t>10:00</t>
        </is>
      </c>
      <c r="H3" s="10" t="inlineStr">
        <is>
          <t>EN_OPERACION</t>
        </is>
      </c>
      <c r="I3" s="10" t="inlineStr">
        <is>
          <t>Revisión del sistema de impresión del Raspberry y capacitación sobre creación de cupones</t>
        </is>
      </c>
      <c r="J3" s="10" t="inlineStr">
        <is>
          <t>REST_PESCADOS</t>
        </is>
      </c>
      <c r="K3" s="10" t="n"/>
      <c r="L3" s="10" t="n"/>
      <c r="M3" s="10" t="inlineStr"/>
      <c r="N3" s="10" t="inlineStr"/>
      <c r="O3" s="10" t="n"/>
      <c r="P3" s="10" t="n"/>
      <c r="Q3" s="10" t="n"/>
      <c r="R3" s="10" t="inlineStr"/>
      <c r="S3" s="10" t="inlineStr">
        <is>
          <t>SIN_DATO</t>
        </is>
      </c>
      <c r="T3" s="10" t="inlineStr">
        <is>
          <t>Yomira Mora</t>
        </is>
      </c>
      <c r="U3" s="10" t="inlineStr">
        <is>
          <t>Piero</t>
        </is>
      </c>
      <c r="V3" s="10" t="inlineStr">
        <is>
          <t>NO</t>
        </is>
      </c>
      <c r="W3" s="10" t="inlineStr">
        <is>
          <t>donoscar.pdf</t>
        </is>
      </c>
      <c r="X3" s="10" t="inlineStr"/>
      <c r="Y3" s="12">
        <f>IF(A3="","",COUNTIF(kb_minuta_respuesta!$A$2:$A$2000,A3))</f>
        <v/>
      </c>
      <c r="Z3" s="12">
        <f>IF(A3="","",COUNTIFS(kb_minuta_recomendacion!$A$2:$A$2000,A3,kb_minuta_recomendacion!$C$2:$C$2000,"RECOMENDACION"))</f>
        <v/>
      </c>
      <c r="AA3" s="12">
        <f>IF(A3="","",COUNTIF(kb_minuta_recomendacion!$A$2:$A$2000,A3)-Z3)</f>
        <v/>
      </c>
    </row>
    <row r="4">
      <c r="A4" s="10" t="inlineStr">
        <is>
          <t>MH-003</t>
        </is>
      </c>
      <c r="B4" s="10" t="inlineStr">
        <is>
          <t>Barrio Pesquero</t>
        </is>
      </c>
      <c r="C4" s="10" t="inlineStr">
        <is>
          <t>Barrio Pesquero</t>
        </is>
      </c>
      <c r="D4" s="10" t="inlineStr">
        <is>
          <t>Av. Gral. Antonio Álvarez de Arenales 1746, Lince 15073</t>
        </is>
      </c>
      <c r="E4" s="10" t="inlineStr">
        <is>
          <t>Lince</t>
        </is>
      </c>
      <c r="F4" s="11" t="n">
        <v>45239</v>
      </c>
      <c r="G4" s="10" t="inlineStr">
        <is>
          <t>16:00</t>
        </is>
      </c>
      <c r="H4" s="10" t="inlineStr">
        <is>
          <t>EN_OPERACION</t>
        </is>
      </c>
      <c r="I4" s="10" t="inlineStr">
        <is>
          <t>Los programas de impresión no funcionan hasta que se reinicia el internet</t>
        </is>
      </c>
      <c r="J4" s="10" t="inlineStr">
        <is>
          <t>REST_PESCADOS</t>
        </is>
      </c>
      <c r="K4" s="10" t="n"/>
      <c r="L4" s="10" t="n"/>
      <c r="M4" s="10" t="inlineStr"/>
      <c r="N4" s="10" t="inlineStr"/>
      <c r="O4" s="10" t="n"/>
      <c r="P4" s="10" t="n"/>
      <c r="Q4" s="10" t="n"/>
      <c r="R4" s="10" t="inlineStr"/>
      <c r="S4" s="10" t="inlineStr">
        <is>
          <t>SIN_DATO</t>
        </is>
      </c>
      <c r="T4" s="10" t="inlineStr">
        <is>
          <t>Yomira Mora</t>
        </is>
      </c>
      <c r="U4" s="10" t="inlineStr">
        <is>
          <t>Giancarlo Sanguinetti</t>
        </is>
      </c>
      <c r="V4" s="10" t="inlineStr">
        <is>
          <t>NO</t>
        </is>
      </c>
      <c r="W4" s="10" t="inlineStr">
        <is>
          <t>barrio.pdf</t>
        </is>
      </c>
      <c r="X4" s="10" t="inlineStr"/>
      <c r="Y4" s="12">
        <f>IF(A4="","",COUNTIF(kb_minuta_respuesta!$A$2:$A$2000,A4))</f>
        <v/>
      </c>
      <c r="Z4" s="12">
        <f>IF(A4="","",COUNTIFS(kb_minuta_recomendacion!$A$2:$A$2000,A4,kb_minuta_recomendacion!$C$2:$C$2000,"RECOMENDACION"))</f>
        <v/>
      </c>
      <c r="AA4" s="12">
        <f>IF(A4="","",COUNTIF(kb_minuta_recomendacion!$A$2:$A$2000,A4)-Z4)</f>
        <v/>
      </c>
    </row>
    <row r="5">
      <c r="A5" s="10" t="inlineStr">
        <is>
          <t>MH-004</t>
        </is>
      </c>
      <c r="B5" s="10" t="inlineStr">
        <is>
          <t>Rock &amp; Burgers</t>
        </is>
      </c>
      <c r="C5" s="10" t="inlineStr">
        <is>
          <t>Rock &amp; Burgers – Huaral</t>
        </is>
      </c>
      <c r="D5" s="10" t="inlineStr">
        <is>
          <t>C. Luis Colán 242, Huaral 15201</t>
        </is>
      </c>
      <c r="E5" s="10" t="inlineStr">
        <is>
          <t>Huaral</t>
        </is>
      </c>
      <c r="F5" s="11" t="n">
        <v>46173</v>
      </c>
      <c r="G5" s="10" t="inlineStr">
        <is>
          <t>16:00</t>
        </is>
      </c>
      <c r="H5" s="10" t="inlineStr"/>
      <c r="I5" s="10" t="inlineStr">
        <is>
          <t>Evaluación de red para implementar el sistema (inicio 01/06/2026)</t>
        </is>
      </c>
      <c r="J5" s="10" t="inlineStr">
        <is>
          <t>FAST_FOOD</t>
        </is>
      </c>
      <c r="K5" s="10" t="n">
        <v>3</v>
      </c>
      <c r="L5" s="10" t="n"/>
      <c r="M5" s="10" t="inlineStr">
        <is>
          <t>CLARO</t>
        </is>
      </c>
      <c r="N5" s="10" t="inlineStr">
        <is>
          <t>FIBRA</t>
        </is>
      </c>
      <c r="O5" s="10" t="n"/>
      <c r="P5" s="10" t="n">
        <v>91.5</v>
      </c>
      <c r="Q5" s="10" t="n">
        <v>92.48999999999999</v>
      </c>
      <c r="R5" s="10" t="inlineStr">
        <is>
          <t>192.168.100.0/24</t>
        </is>
      </c>
      <c r="S5" s="10" t="inlineStr">
        <is>
          <t>APTO</t>
        </is>
      </c>
      <c r="T5" s="10" t="inlineStr">
        <is>
          <t>Yomira Mora</t>
        </is>
      </c>
      <c r="U5" s="10" t="inlineStr">
        <is>
          <t>Gianfranco (equipo operativo)</t>
        </is>
      </c>
      <c r="V5" s="10" t="inlineStr">
        <is>
          <t>NO</t>
        </is>
      </c>
      <c r="W5" s="10" t="inlineStr">
        <is>
          <t>rock.pdf</t>
        </is>
      </c>
      <c r="X5" s="10" t="inlineStr">
        <is>
          <t>La minuta trae acceso remoto (AnyDesk): ver hoja kb_minuta_credencial. Tecnología de impresiones: wrapper Windows.</t>
        </is>
      </c>
      <c r="Y5" s="12">
        <f>IF(A5="","",COUNTIF(kb_minuta_respuesta!$A$2:$A$2000,A5))</f>
        <v/>
      </c>
      <c r="Z5" s="12">
        <f>IF(A5="","",COUNTIFS(kb_minuta_recomendacion!$A$2:$A$2000,A5,kb_minuta_recomendacion!$C$2:$C$2000,"RECOMENDACION"))</f>
        <v/>
      </c>
      <c r="AA5" s="12">
        <f>IF(A5="","",COUNTIF(kb_minuta_recomendacion!$A$2:$A$2000,A5)-Z5)</f>
        <v/>
      </c>
    </row>
    <row r="6">
      <c r="A6" s="10" t="inlineStr">
        <is>
          <t>MH-005</t>
        </is>
      </c>
      <c r="B6" s="10" t="inlineStr">
        <is>
          <t>Dorcher Bier</t>
        </is>
      </c>
      <c r="C6" s="10" t="inlineStr">
        <is>
          <t>Dorcher San Miguel</t>
        </is>
      </c>
      <c r="D6" s="10" t="inlineStr">
        <is>
          <t>Dorcher San Miguel</t>
        </is>
      </c>
      <c r="E6" s="10" t="inlineStr">
        <is>
          <t>San Miguel</t>
        </is>
      </c>
      <c r="F6" s="11" t="n">
        <v>45030</v>
      </c>
      <c r="G6" s="10" t="inlineStr">
        <is>
          <t>10:30</t>
        </is>
      </c>
      <c r="H6" s="10" t="inlineStr">
        <is>
          <t>EN_OPERACION</t>
        </is>
      </c>
      <c r="I6" s="10" t="inlineStr">
        <is>
          <t>Sin conexión a internet y sin impresión de comandas ni comprobantes</t>
        </is>
      </c>
      <c r="J6" s="10" t="inlineStr">
        <is>
          <t>RESTOBAR</t>
        </is>
      </c>
      <c r="K6" s="10" t="n">
        <v>2</v>
      </c>
      <c r="L6" s="10" t="n">
        <v>3</v>
      </c>
      <c r="M6" s="10" t="inlineStr">
        <is>
          <t>MOVISTAR</t>
        </is>
      </c>
      <c r="N6" s="10" t="inlineStr"/>
      <c r="O6" s="10" t="n"/>
      <c r="P6" s="10" t="n">
        <v>94.01000000000001</v>
      </c>
      <c r="Q6" s="10" t="n">
        <v>94.43000000000001</v>
      </c>
      <c r="R6" s="10" t="inlineStr"/>
      <c r="S6" s="10" t="inlineStr">
        <is>
          <t>SIN_DATO</t>
        </is>
      </c>
      <c r="T6" s="10" t="inlineStr">
        <is>
          <t>Arturo Contreras</t>
        </is>
      </c>
      <c r="U6" s="10" t="inlineStr">
        <is>
          <t>Karla Sandoval</t>
        </is>
      </c>
      <c r="V6" s="10" t="n"/>
      <c r="W6" s="10" t="inlineStr">
        <is>
          <t>Visita_Tecnica_DORCHER_SM_14-04-23.pdf</t>
        </is>
      </c>
      <c r="X6" s="10" t="inlineStr">
        <is>
          <t>Dos redes (Claro y Movistar). Ese día los equipos se pasaron a Movistar; velocidad medida tras cambiar el switch. Tipo de negocio inferido (cervecería).</t>
        </is>
      </c>
      <c r="Y6" s="12">
        <f>IF(A6="","",COUNTIF(kb_minuta_respuesta!$A$2:$A$2000,A6))</f>
        <v/>
      </c>
      <c r="Z6" s="12">
        <f>IF(A6="","",COUNTIFS(kb_minuta_recomendacion!$A$2:$A$2000,A6,kb_minuta_recomendacion!$C$2:$C$2000,"RECOMENDACION"))</f>
        <v/>
      </c>
      <c r="AA6" s="12">
        <f>IF(A6="","",COUNTIF(kb_minuta_recomendacion!$A$2:$A$2000,A6)-Z6)</f>
        <v/>
      </c>
    </row>
    <row r="7">
      <c r="A7" s="10" t="inlineStr">
        <is>
          <t>MH-006</t>
        </is>
      </c>
      <c r="B7" s="10" t="inlineStr">
        <is>
          <t>Dorcher Bier</t>
        </is>
      </c>
      <c r="C7" s="10" t="inlineStr">
        <is>
          <t>Dorcher San Miguel</t>
        </is>
      </c>
      <c r="D7" s="10" t="inlineStr">
        <is>
          <t>Dorcher San Miguel</t>
        </is>
      </c>
      <c r="E7" s="10" t="inlineStr">
        <is>
          <t>San Miguel</t>
        </is>
      </c>
      <c r="F7" s="11" t="n">
        <v>45073</v>
      </c>
      <c r="G7" s="10" t="inlineStr">
        <is>
          <t>16:00</t>
        </is>
      </c>
      <c r="H7" s="10" t="inlineStr">
        <is>
          <t>EN_OPERACION</t>
        </is>
      </c>
      <c r="I7" s="10" t="inlineStr">
        <is>
          <t>Impresoras sin imprimir: el cableado del segundo piso se movió entre las redes Claro y Movistar</t>
        </is>
      </c>
      <c r="J7" s="10" t="inlineStr">
        <is>
          <t>RESTOBAR</t>
        </is>
      </c>
      <c r="K7" s="10" t="n">
        <v>2</v>
      </c>
      <c r="L7" s="10" t="n">
        <v>3</v>
      </c>
      <c r="M7" s="10" t="inlineStr">
        <is>
          <t>CLARO</t>
        </is>
      </c>
      <c r="N7" s="10" t="inlineStr"/>
      <c r="O7" s="10" t="n"/>
      <c r="P7" s="10" t="n">
        <v>93.37</v>
      </c>
      <c r="Q7" s="10" t="n">
        <v>32.36</v>
      </c>
      <c r="R7" s="10" t="inlineStr"/>
      <c r="S7" s="10" t="inlineStr">
        <is>
          <t>SIN_DATO</t>
        </is>
      </c>
      <c r="T7" s="10" t="inlineStr">
        <is>
          <t>Arturo Contreras</t>
        </is>
      </c>
      <c r="U7" s="10" t="inlineStr"/>
      <c r="V7" s="10" t="n"/>
      <c r="W7" s="10" t="inlineStr">
        <is>
          <t>VISITA_TECNICA_DORCHER_SM_27-05-23.pdf</t>
        </is>
      </c>
      <c r="X7" s="10" t="inlineStr">
        <is>
          <t>Todos los equipos se reconfiguraron en la red Claro. Velocidad de la PC Caja 2 (las otras ~92 Mbps). Contacto del cliente vacío en la minuta.</t>
        </is>
      </c>
      <c r="Y7" s="12">
        <f>IF(A7="","",COUNTIF(kb_minuta_respuesta!$A$2:$A$2000,A7))</f>
        <v/>
      </c>
      <c r="Z7" s="12">
        <f>IF(A7="","",COUNTIFS(kb_minuta_recomendacion!$A$2:$A$2000,A7,kb_minuta_recomendacion!$C$2:$C$2000,"RECOMENDACION"))</f>
        <v/>
      </c>
      <c r="AA7" s="12">
        <f>IF(A7="","",COUNTIF(kb_minuta_recomendacion!$A$2:$A$2000,A7)-Z7)</f>
        <v/>
      </c>
    </row>
    <row r="8">
      <c r="A8" s="10" t="inlineStr">
        <is>
          <t>MH-007</t>
        </is>
      </c>
      <c r="B8" s="10" t="inlineStr">
        <is>
          <t>Malala</t>
        </is>
      </c>
      <c r="C8" s="10" t="inlineStr">
        <is>
          <t>Malala</t>
        </is>
      </c>
      <c r="D8" s="10" t="inlineStr">
        <is>
          <t>Calle Alcanfores 151, Miraflores 15074</t>
        </is>
      </c>
      <c r="E8" s="10" t="inlineStr">
        <is>
          <t>Miraflores</t>
        </is>
      </c>
      <c r="F8" s="11" t="n">
        <v>45230</v>
      </c>
      <c r="G8" s="10" t="inlineStr">
        <is>
          <t>21:00</t>
        </is>
      </c>
      <c r="H8" s="10" t="inlineStr">
        <is>
          <t>POR_INAUGURAR</t>
        </is>
      </c>
      <c r="I8" s="10" t="inlineStr">
        <is>
          <t>Local sin internet: el proveedor no había habilitado el servicio</t>
        </is>
      </c>
      <c r="J8" s="10" t="inlineStr">
        <is>
          <t>RESTOBAR</t>
        </is>
      </c>
      <c r="K8" s="10" t="n">
        <v>2</v>
      </c>
      <c r="L8" s="10" t="n"/>
      <c r="M8" s="10" t="inlineStr">
        <is>
          <t>OTRO</t>
        </is>
      </c>
      <c r="N8" s="10" t="inlineStr">
        <is>
          <t>NO_TIENE</t>
        </is>
      </c>
      <c r="O8" s="10" t="n"/>
      <c r="P8" s="10" t="n"/>
      <c r="Q8" s="10" t="n"/>
      <c r="R8" s="10" t="inlineStr"/>
      <c r="S8" s="10" t="inlineStr">
        <is>
          <t>SIN_DATO</t>
        </is>
      </c>
      <c r="T8" s="10" t="inlineStr">
        <is>
          <t>Yomira Mora</t>
        </is>
      </c>
      <c r="U8" s="10" t="inlineStr">
        <is>
          <t>Marina</t>
        </is>
      </c>
      <c r="V8" s="10" t="inlineStr">
        <is>
          <t>SI</t>
        </is>
      </c>
      <c r="W8" s="10" t="inlineStr">
        <is>
          <t>Minuta_Visita_Tecnica_Malala_31-10-23.pdf</t>
        </is>
      </c>
      <c r="X8" s="10" t="inlineStr">
        <is>
          <t>Se habilitó internet de respaldo con TP-Link 4G + chip Entel. Proveedor principal no habilitado. Tipo de negocio inferido (makis). Misma dirección que Don Oscar en la minuta.</t>
        </is>
      </c>
      <c r="Y8" s="12">
        <f>IF(A8="","",COUNTIF(kb_minuta_respuesta!$A$2:$A$2000,A8))</f>
        <v/>
      </c>
      <c r="Z8" s="12">
        <f>IF(A8="","",COUNTIFS(kb_minuta_recomendacion!$A$2:$A$2000,A8,kb_minuta_recomendacion!$C$2:$C$2000,"RECOMENDACION"))</f>
        <v/>
      </c>
      <c r="AA8" s="12">
        <f>IF(A8="","",COUNTIF(kb_minuta_recomendacion!$A$2:$A$2000,A8)-Z8)</f>
        <v/>
      </c>
    </row>
    <row r="9">
      <c r="A9" s="10" t="inlineStr">
        <is>
          <t>MH-008</t>
        </is>
      </c>
      <c r="B9" s="10" t="inlineStr">
        <is>
          <t>Hotel La Confianza</t>
        </is>
      </c>
      <c r="C9" s="10" t="inlineStr">
        <is>
          <t>Hotel La Confianza</t>
        </is>
      </c>
      <c r="D9" s="10" t="inlineStr">
        <is>
          <t>Catapalla, Lunahuaná 15727</t>
        </is>
      </c>
      <c r="E9" s="10" t="inlineStr">
        <is>
          <t>Lunahuaná</t>
        </is>
      </c>
      <c r="F9" s="11" t="n">
        <v>45232</v>
      </c>
      <c r="G9" s="10" t="inlineStr">
        <is>
          <t>11:30</t>
        </is>
      </c>
      <c r="H9" s="10" t="inlineStr">
        <is>
          <t>EN_OPERACION</t>
        </is>
      </c>
      <c r="I9" s="10" t="inlineStr">
        <is>
          <t>Revisión del sistema de impresión del Raspberry</t>
        </is>
      </c>
      <c r="J9" s="10" t="inlineStr">
        <is>
          <t>HOSPEDAJE</t>
        </is>
      </c>
      <c r="K9" s="10" t="n"/>
      <c r="L9" s="10" t="n"/>
      <c r="M9" s="10" t="inlineStr">
        <is>
          <t>OTRO</t>
        </is>
      </c>
      <c r="N9" s="10" t="inlineStr"/>
      <c r="O9" s="10" t="n">
        <v>20</v>
      </c>
      <c r="P9" s="10" t="n">
        <v>2.73</v>
      </c>
      <c r="Q9" s="10" t="n"/>
      <c r="R9" s="10" t="inlineStr"/>
      <c r="S9" s="10" t="inlineStr">
        <is>
          <t>SIN_DATO</t>
        </is>
      </c>
      <c r="T9" s="10" t="inlineStr">
        <is>
          <t>Yomira Mora, Daphne</t>
        </is>
      </c>
      <c r="U9" s="10" t="inlineStr">
        <is>
          <t>Caleb</t>
        </is>
      </c>
      <c r="V9" s="10" t="n"/>
      <c r="W9" s="10" t="inlineStr">
        <is>
          <t>Minuta_Visita_Tecnica_Hotel_La_Confianza_02-11-23.pdf</t>
        </is>
      </c>
      <c r="X9" s="10" t="inlineStr">
        <is>
          <t>Tipo de conexión vacío: es satelital (Hughesnet) y P14 no tiene esa opción. Plan de 20 Mbps con 10 GB; al agotar datos reduce la velocidad (2.73 Mbps medidos).</t>
        </is>
      </c>
      <c r="Y9" s="12">
        <f>IF(A9="","",COUNTIF(kb_minuta_respuesta!$A$2:$A$2000,A9))</f>
        <v/>
      </c>
      <c r="Z9" s="12">
        <f>IF(A9="","",COUNTIFS(kb_minuta_recomendacion!$A$2:$A$2000,A9,kb_minuta_recomendacion!$C$2:$C$2000,"RECOMENDACION"))</f>
        <v/>
      </c>
      <c r="AA9" s="12">
        <f>IF(A9="","",COUNTIF(kb_minuta_recomendacion!$A$2:$A$2000,A9)-Z9)</f>
        <v/>
      </c>
    </row>
    <row r="10">
      <c r="A10" s="10" t="inlineStr">
        <is>
          <t>MH-009</t>
        </is>
      </c>
      <c r="B10" s="10" t="inlineStr">
        <is>
          <t>Rikoton</t>
        </is>
      </c>
      <c r="C10" s="10" t="inlineStr">
        <is>
          <t>RKT Banchero</t>
        </is>
      </c>
      <c r="D10" s="10" t="inlineStr">
        <is>
          <t>Av. Santa Rosa 468, Urb. Canto Grande, San Juan de Lurigancho</t>
        </is>
      </c>
      <c r="E10" s="10" t="inlineStr">
        <is>
          <t>San Juan de Lurigancho</t>
        </is>
      </c>
      <c r="F10" s="11" t="n">
        <v>45819</v>
      </c>
      <c r="G10" s="10" t="inlineStr">
        <is>
          <t>12:00</t>
        </is>
      </c>
      <c r="H10" s="10" t="inlineStr"/>
      <c r="I10" s="10" t="inlineStr">
        <is>
          <t>Validar que los equipos estén operativos antes de la implementación</t>
        </is>
      </c>
      <c r="J10" s="10" t="inlineStr">
        <is>
          <t>POLLERIA</t>
        </is>
      </c>
      <c r="K10" s="10" t="n"/>
      <c r="L10" s="10" t="n"/>
      <c r="M10" s="10" t="inlineStr">
        <is>
          <t>MOVISTAR</t>
        </is>
      </c>
      <c r="N10" s="10" t="inlineStr">
        <is>
          <t>FIBRA</t>
        </is>
      </c>
      <c r="O10" s="10" t="n"/>
      <c r="P10" s="10" t="n">
        <v>493.11</v>
      </c>
      <c r="Q10" s="10" t="n"/>
      <c r="R10" s="10" t="inlineStr">
        <is>
          <t>192.168.0.0/24</t>
        </is>
      </c>
      <c r="S10" s="10" t="inlineStr">
        <is>
          <t>SIN_DATO</t>
        </is>
      </c>
      <c r="T10" s="10" t="inlineStr">
        <is>
          <t>Sera G., Yomira Mora</t>
        </is>
      </c>
      <c r="U10" s="10" t="inlineStr">
        <is>
          <t>Fernando</t>
        </is>
      </c>
      <c r="V10" s="10" t="n"/>
      <c r="W10" s="10" t="inlineStr">
        <is>
          <t>RKT_BANCHERO_-_Minuta_Visita.pdf</t>
        </is>
      </c>
      <c r="X10" s="10" t="inlineStr">
        <is>
          <t>Dos segmentos de red. Tipo de negocio inferido (pollería/brasas).</t>
        </is>
      </c>
      <c r="Y10" s="12">
        <f>IF(A10="","",COUNTIF(kb_minuta_respuesta!$A$2:$A$2000,A10))</f>
        <v/>
      </c>
      <c r="Z10" s="12">
        <f>IF(A10="","",COUNTIFS(kb_minuta_recomendacion!$A$2:$A$2000,A10,kb_minuta_recomendacion!$C$2:$C$2000,"RECOMENDACION"))</f>
        <v/>
      </c>
      <c r="AA10" s="12">
        <f>IF(A10="","",COUNTIF(kb_minuta_recomendacion!$A$2:$A$2000,A10)-Z10)</f>
        <v/>
      </c>
    </row>
    <row r="11">
      <c r="A11" s="10" t="inlineStr">
        <is>
          <t>MH-010</t>
        </is>
      </c>
      <c r="B11" s="10" t="inlineStr">
        <is>
          <t>Rikoton</t>
        </is>
      </c>
      <c r="C11" s="10" t="inlineStr">
        <is>
          <t>RKT Bayóvar</t>
        </is>
      </c>
      <c r="D11" s="10" t="inlineStr">
        <is>
          <t>Cal. Segunda Zona de Bayóvar Mz. 2 Lt. 1, San Juan de Lurigancho</t>
        </is>
      </c>
      <c r="E11" s="10" t="inlineStr">
        <is>
          <t>San Juan de Lurigancho</t>
        </is>
      </c>
      <c r="F11" s="11" t="n">
        <v>45819</v>
      </c>
      <c r="G11" s="10" t="inlineStr">
        <is>
          <t>12:00</t>
        </is>
      </c>
      <c r="H11" s="10" t="inlineStr"/>
      <c r="I11" s="10" t="inlineStr">
        <is>
          <t>Validar que los equipos estén operativos antes de la implementación</t>
        </is>
      </c>
      <c r="J11" s="10" t="inlineStr">
        <is>
          <t>POLLERIA</t>
        </is>
      </c>
      <c r="K11" s="10" t="n"/>
      <c r="L11" s="10" t="n"/>
      <c r="M11" s="10" t="inlineStr">
        <is>
          <t>MOVISTAR</t>
        </is>
      </c>
      <c r="N11" s="10" t="inlineStr"/>
      <c r="O11" s="10" t="n"/>
      <c r="P11" s="10" t="n">
        <v>93.17</v>
      </c>
      <c r="Q11" s="10" t="n"/>
      <c r="R11" s="10" t="inlineStr">
        <is>
          <t>192.168.1.0/24</t>
        </is>
      </c>
      <c r="S11" s="10" t="inlineStr">
        <is>
          <t>SIN_DATO</t>
        </is>
      </c>
      <c r="T11" s="10" t="inlineStr">
        <is>
          <t>Sera G., Yomira Mora</t>
        </is>
      </c>
      <c r="U11" s="10" t="inlineStr">
        <is>
          <t>Fernando</t>
        </is>
      </c>
      <c r="V11" s="10" t="n"/>
      <c r="W11" s="10" t="inlineStr">
        <is>
          <t>RKT_BAYOVAR_-_Minuta_Visita.pdf</t>
        </is>
      </c>
      <c r="X11" s="10" t="inlineStr">
        <is>
          <t>Dos segmentos de red.</t>
        </is>
      </c>
      <c r="Y11" s="12">
        <f>IF(A11="","",COUNTIF(kb_minuta_respuesta!$A$2:$A$2000,A11))</f>
        <v/>
      </c>
      <c r="Z11" s="12">
        <f>IF(A11="","",COUNTIFS(kb_minuta_recomendacion!$A$2:$A$2000,A11,kb_minuta_recomendacion!$C$2:$C$2000,"RECOMENDACION"))</f>
        <v/>
      </c>
      <c r="AA11" s="12">
        <f>IF(A11="","",COUNTIF(kb_minuta_recomendacion!$A$2:$A$2000,A11)-Z11)</f>
        <v/>
      </c>
    </row>
    <row r="12">
      <c r="A12" s="10" t="inlineStr">
        <is>
          <t>MH-011</t>
        </is>
      </c>
      <c r="B12" s="10" t="inlineStr">
        <is>
          <t>Rikoton</t>
        </is>
      </c>
      <c r="C12" s="10" t="inlineStr">
        <is>
          <t>RKT Calle 8</t>
        </is>
      </c>
      <c r="D12" s="10" t="inlineStr">
        <is>
          <t>Av. Los Pinos Mz. S Lt. 3, Campoy II Etapa, San Juan de Lurigancho</t>
        </is>
      </c>
      <c r="E12" s="10" t="inlineStr">
        <is>
          <t>San Juan de Lurigancho</t>
        </is>
      </c>
      <c r="F12" s="11" t="n">
        <v>45819</v>
      </c>
      <c r="G12" s="10" t="inlineStr">
        <is>
          <t>12:00</t>
        </is>
      </c>
      <c r="H12" s="10" t="inlineStr"/>
      <c r="I12" s="10" t="inlineStr">
        <is>
          <t>Validar que los equipos estén operativos antes de la implementación</t>
        </is>
      </c>
      <c r="J12" s="10" t="inlineStr">
        <is>
          <t>POLLERIA</t>
        </is>
      </c>
      <c r="K12" s="10" t="n">
        <v>2</v>
      </c>
      <c r="L12" s="10" t="n"/>
      <c r="M12" s="10" t="inlineStr">
        <is>
          <t>OTRO</t>
        </is>
      </c>
      <c r="N12" s="10" t="inlineStr"/>
      <c r="O12" s="10" t="n"/>
      <c r="P12" s="10" t="n">
        <v>480.02</v>
      </c>
      <c r="Q12" s="10" t="n">
        <v>488.33</v>
      </c>
      <c r="R12" s="10" t="inlineStr">
        <is>
          <t>192.168.1.0/24</t>
        </is>
      </c>
      <c r="S12" s="10" t="inlineStr">
        <is>
          <t>SIN_DATO</t>
        </is>
      </c>
      <c r="T12" s="10" t="inlineStr">
        <is>
          <t>Sera G., Yomira Mora</t>
        </is>
      </c>
      <c r="U12" s="10" t="inlineStr">
        <is>
          <t>Fernando</t>
        </is>
      </c>
      <c r="V12" s="10" t="n"/>
      <c r="W12" s="10" t="inlineStr">
        <is>
          <t>RKT_Calle_8-_Minuta_Visita.pdf</t>
        </is>
      </c>
      <c r="X12" s="10" t="inlineStr">
        <is>
          <t>Proveedor del speedtest: Yachay Telecomunicaciones.</t>
        </is>
      </c>
      <c r="Y12" s="12">
        <f>IF(A12="","",COUNTIF(kb_minuta_respuesta!$A$2:$A$2000,A12))</f>
        <v/>
      </c>
      <c r="Z12" s="12">
        <f>IF(A12="","",COUNTIFS(kb_minuta_recomendacion!$A$2:$A$2000,A12,kb_minuta_recomendacion!$C$2:$C$2000,"RECOMENDACION"))</f>
        <v/>
      </c>
      <c r="AA12" s="12">
        <f>IF(A12="","",COUNTIF(kb_minuta_recomendacion!$A$2:$A$2000,A12)-Z12)</f>
        <v/>
      </c>
    </row>
    <row r="13">
      <c r="A13" s="10" t="inlineStr">
        <is>
          <t>MH-012</t>
        </is>
      </c>
      <c r="B13" s="10" t="inlineStr">
        <is>
          <t>Rikoton</t>
        </is>
      </c>
      <c r="C13" s="10" t="inlineStr">
        <is>
          <t>RKT Hacienda</t>
        </is>
      </c>
      <c r="D13" s="10" t="inlineStr">
        <is>
          <t>Av. Próceres de la Independencia 1730, Urb. Las Flores de Primavera, San Juan de Lurigancho</t>
        </is>
      </c>
      <c r="E13" s="10" t="inlineStr">
        <is>
          <t>San Juan de Lurigancho</t>
        </is>
      </c>
      <c r="F13" s="11" t="n">
        <v>45819</v>
      </c>
      <c r="G13" s="10" t="inlineStr">
        <is>
          <t>12:00</t>
        </is>
      </c>
      <c r="H13" s="10" t="inlineStr"/>
      <c r="I13" s="10" t="inlineStr">
        <is>
          <t>Validar que los equipos estén operativos antes de la implementación</t>
        </is>
      </c>
      <c r="J13" s="10" t="inlineStr">
        <is>
          <t>POLLERIA</t>
        </is>
      </c>
      <c r="K13" s="10" t="n"/>
      <c r="L13" s="10" t="n"/>
      <c r="M13" s="10" t="inlineStr">
        <is>
          <t>MOVISTAR</t>
        </is>
      </c>
      <c r="N13" s="10" t="inlineStr"/>
      <c r="O13" s="10" t="n"/>
      <c r="P13" s="10" t="n">
        <v>88.94</v>
      </c>
      <c r="Q13" s="10" t="n">
        <v>92.64</v>
      </c>
      <c r="R13" s="10" t="inlineStr"/>
      <c r="S13" s="10" t="inlineStr">
        <is>
          <t>APTO</t>
        </is>
      </c>
      <c r="T13" s="10" t="inlineStr">
        <is>
          <t>Sera G., Yomira Mora</t>
        </is>
      </c>
      <c r="U13" s="10" t="inlineStr">
        <is>
          <t>Fernando</t>
        </is>
      </c>
      <c r="V13" s="10" t="n"/>
      <c r="W13" s="10" t="inlineStr">
        <is>
          <t>RKT_HACIENDA_-_Minuta_Visita_1.pdf</t>
        </is>
      </c>
      <c r="X13" s="10" t="inlineStr">
        <is>
          <t>ID de AnyDesk: ver hoja kb_minuta_credencial. Estado: 'se validaron los equipos y la funcionalidad óptima para la implementación'.</t>
        </is>
      </c>
      <c r="Y13" s="12">
        <f>IF(A13="","",COUNTIF(kb_minuta_respuesta!$A$2:$A$2000,A13))</f>
        <v/>
      </c>
      <c r="Z13" s="12">
        <f>IF(A13="","",COUNTIFS(kb_minuta_recomendacion!$A$2:$A$2000,A13,kb_minuta_recomendacion!$C$2:$C$2000,"RECOMENDACION"))</f>
        <v/>
      </c>
      <c r="AA13" s="12">
        <f>IF(A13="","",COUNTIF(kb_minuta_recomendacion!$A$2:$A$2000,A13)-Z13)</f>
        <v/>
      </c>
    </row>
    <row r="14">
      <c r="A14" s="10" t="inlineStr">
        <is>
          <t>MH-013</t>
        </is>
      </c>
      <c r="B14" s="10" t="inlineStr">
        <is>
          <t>Rikoton</t>
        </is>
      </c>
      <c r="C14" s="10" t="inlineStr">
        <is>
          <t>RKT Mariscal</t>
        </is>
      </c>
      <c r="D14" s="10" t="inlineStr">
        <is>
          <t>Jr. Somos Libres Mz. D Lt. 3, A.H. Somos Libres, San Juan de Lurigancho</t>
        </is>
      </c>
      <c r="E14" s="10" t="inlineStr">
        <is>
          <t>San Juan de Lurigancho</t>
        </is>
      </c>
      <c r="F14" s="11" t="n">
        <v>45819</v>
      </c>
      <c r="G14" s="10" t="inlineStr">
        <is>
          <t>12:00</t>
        </is>
      </c>
      <c r="H14" s="10" t="inlineStr"/>
      <c r="I14" s="10" t="inlineStr">
        <is>
          <t>Validar que los equipos estén operativos antes de la implementación</t>
        </is>
      </c>
      <c r="J14" s="10" t="inlineStr">
        <is>
          <t>POLLERIA</t>
        </is>
      </c>
      <c r="K14" s="10" t="n">
        <v>3</v>
      </c>
      <c r="L14" s="10" t="n"/>
      <c r="M14" s="10" t="inlineStr">
        <is>
          <t>OTRO</t>
        </is>
      </c>
      <c r="N14" s="10" t="inlineStr">
        <is>
          <t>FIBRA</t>
        </is>
      </c>
      <c r="O14" s="10" t="n"/>
      <c r="P14" s="10" t="n">
        <v>93.91</v>
      </c>
      <c r="Q14" s="10" t="n">
        <v>94.27</v>
      </c>
      <c r="R14" s="10" t="inlineStr">
        <is>
          <t>192.168.1.0/24</t>
        </is>
      </c>
      <c r="S14" s="10" t="inlineStr">
        <is>
          <t>SIN_DATO</t>
        </is>
      </c>
      <c r="T14" s="10" t="inlineStr">
        <is>
          <t>Sera G., Yomira Mora</t>
        </is>
      </c>
      <c r="U14" s="10" t="inlineStr">
        <is>
          <t>Fernando</t>
        </is>
      </c>
      <c r="V14" s="10" t="n"/>
      <c r="W14" s="10" t="inlineStr">
        <is>
          <t>RKT_MARISCAL_-_Minuta_Visita_1.pdf</t>
        </is>
      </c>
      <c r="X14" s="10" t="inlineStr">
        <is>
          <t>Proveedor del speedtest: Yachay Telecomunicaciones.</t>
        </is>
      </c>
      <c r="Y14" s="12">
        <f>IF(A14="","",COUNTIF(kb_minuta_respuesta!$A$2:$A$2000,A14))</f>
        <v/>
      </c>
      <c r="Z14" s="12">
        <f>IF(A14="","",COUNTIFS(kb_minuta_recomendacion!$A$2:$A$2000,A14,kb_minuta_recomendacion!$C$2:$C$2000,"RECOMENDACION"))</f>
        <v/>
      </c>
      <c r="AA14" s="12">
        <f>IF(A14="","",COUNTIF(kb_minuta_recomendacion!$A$2:$A$2000,A14)-Z14)</f>
        <v/>
      </c>
    </row>
    <row r="15">
      <c r="A15" s="10" t="inlineStr">
        <is>
          <t>MH-014</t>
        </is>
      </c>
      <c r="B15" s="10" t="inlineStr">
        <is>
          <t>Rikoton</t>
        </is>
      </c>
      <c r="C15" s="10" t="inlineStr">
        <is>
          <t>RKT Villa Flores</t>
        </is>
      </c>
      <c r="D15" s="10" t="inlineStr">
        <is>
          <t>Av. Santa Rosa de Lima Mz. T3 Lt. 33, San Juan de Lurigancho</t>
        </is>
      </c>
      <c r="E15" s="10" t="inlineStr">
        <is>
          <t>San Juan de Lurigancho</t>
        </is>
      </c>
      <c r="F15" s="11" t="n">
        <v>45819</v>
      </c>
      <c r="G15" s="10" t="inlineStr">
        <is>
          <t>12:00</t>
        </is>
      </c>
      <c r="H15" s="10" t="inlineStr"/>
      <c r="I15" s="10" t="inlineStr">
        <is>
          <t>Validar que los equipos estén operativos antes de la implementación</t>
        </is>
      </c>
      <c r="J15" s="10" t="inlineStr">
        <is>
          <t>POLLERIA</t>
        </is>
      </c>
      <c r="K15" s="10" t="n"/>
      <c r="L15" s="10" t="n"/>
      <c r="M15" s="10" t="inlineStr">
        <is>
          <t>OTRO</t>
        </is>
      </c>
      <c r="N15" s="10" t="inlineStr"/>
      <c r="O15" s="10" t="n"/>
      <c r="P15" s="10" t="n">
        <v>400.19</v>
      </c>
      <c r="Q15" s="10" t="n"/>
      <c r="R15" s="10" t="inlineStr">
        <is>
          <t>192.168.1.0/24</t>
        </is>
      </c>
      <c r="S15" s="10" t="inlineStr">
        <is>
          <t>SIN_DATO</t>
        </is>
      </c>
      <c r="T15" s="10" t="inlineStr">
        <is>
          <t>Sera G., Yomira Mora</t>
        </is>
      </c>
      <c r="U15" s="10" t="inlineStr">
        <is>
          <t>Fernando</t>
        </is>
      </c>
      <c r="V15" s="10" t="n"/>
      <c r="W15" s="10" t="inlineStr">
        <is>
          <t>RKT_Villa_Flores-_Minuta_Visita.pdf</t>
        </is>
      </c>
      <c r="X15" s="10" t="inlineStr">
        <is>
          <t>Proveedor WOW. Dos segmentos de red. Router sin puertos libres.</t>
        </is>
      </c>
      <c r="Y15" s="12">
        <f>IF(A15="","",COUNTIF(kb_minuta_respuesta!$A$2:$A$2000,A15))</f>
        <v/>
      </c>
      <c r="Z15" s="12">
        <f>IF(A15="","",COUNTIFS(kb_minuta_recomendacion!$A$2:$A$2000,A15,kb_minuta_recomendacion!$C$2:$C$2000,"RECOMENDACION"))</f>
        <v/>
      </c>
      <c r="AA15" s="12">
        <f>IF(A15="","",COUNTIF(kb_minuta_recomendacion!$A$2:$A$2000,A15)-Z15)</f>
        <v/>
      </c>
    </row>
    <row r="16">
      <c r="A16" s="10" t="inlineStr">
        <is>
          <t>MH-015</t>
        </is>
      </c>
      <c r="B16" s="10" t="inlineStr">
        <is>
          <t>Rikoton</t>
        </is>
      </c>
      <c r="C16" s="10" t="inlineStr">
        <is>
          <t>RKT Zárate</t>
        </is>
      </c>
      <c r="D16" s="10" t="inlineStr">
        <is>
          <t>Av. Chimú 1599, Urb. Zárate, San Juan de Lurigancho</t>
        </is>
      </c>
      <c r="E16" s="10" t="inlineStr">
        <is>
          <t>San Juan de Lurigancho</t>
        </is>
      </c>
      <c r="F16" s="11" t="n">
        <v>45819</v>
      </c>
      <c r="G16" s="10" t="inlineStr">
        <is>
          <t>12:00</t>
        </is>
      </c>
      <c r="H16" s="10" t="inlineStr"/>
      <c r="I16" s="10" t="inlineStr">
        <is>
          <t>Validar que los equipos estén operativos antes de la implementación</t>
        </is>
      </c>
      <c r="J16" s="10" t="inlineStr">
        <is>
          <t>POLLERIA</t>
        </is>
      </c>
      <c r="K16" s="10" t="n">
        <v>2</v>
      </c>
      <c r="L16" s="10" t="n"/>
      <c r="M16" s="10" t="inlineStr">
        <is>
          <t>OTRO</t>
        </is>
      </c>
      <c r="N16" s="10" t="inlineStr"/>
      <c r="O16" s="10" t="n"/>
      <c r="P16" s="10" t="n">
        <v>492.71</v>
      </c>
      <c r="Q16" s="10" t="n">
        <v>404.81</v>
      </c>
      <c r="R16" s="10" t="inlineStr">
        <is>
          <t>192.168.18.0/24</t>
        </is>
      </c>
      <c r="S16" s="10" t="inlineStr">
        <is>
          <t>SIN_DATO</t>
        </is>
      </c>
      <c r="T16" s="10" t="inlineStr">
        <is>
          <t>Sera G., Yomira Mora</t>
        </is>
      </c>
      <c r="U16" s="10" t="inlineStr">
        <is>
          <t>Fernando</t>
        </is>
      </c>
      <c r="V16" s="10" t="n"/>
      <c r="W16" s="10" t="inlineStr">
        <is>
          <t>RKT_ZARATE_-_Minuta_Visita.pdf</t>
        </is>
      </c>
      <c r="X16" s="10" t="inlineStr">
        <is>
          <t>Proveedor del speedtest: Yachay Telecomunicaciones. Gateway 192.168.18.1.</t>
        </is>
      </c>
      <c r="Y16" s="12">
        <f>IF(A16="","",COUNTIF(kb_minuta_respuesta!$A$2:$A$2000,A16))</f>
        <v/>
      </c>
      <c r="Z16" s="12">
        <f>IF(A16="","",COUNTIFS(kb_minuta_recomendacion!$A$2:$A$2000,A16,kb_minuta_recomendacion!$C$2:$C$2000,"RECOMENDACION"))</f>
        <v/>
      </c>
      <c r="AA16" s="12">
        <f>IF(A16="","",COUNTIF(kb_minuta_recomendacion!$A$2:$A$2000,A16)-Z16)</f>
        <v/>
      </c>
    </row>
    <row r="17">
      <c r="A17" s="10" t="inlineStr">
        <is>
          <t>MH-016</t>
        </is>
      </c>
      <c r="B17" s="10" t="inlineStr">
        <is>
          <t>Gelato Alore</t>
        </is>
      </c>
      <c r="C17" s="10" t="inlineStr">
        <is>
          <t>Gelato Alore Miguel Dasso</t>
        </is>
      </c>
      <c r="D17" s="10" t="inlineStr">
        <is>
          <t>C.C. Sausalito, C. Miguel Dasso 126, San Isidro 15073</t>
        </is>
      </c>
      <c r="E17" s="10" t="inlineStr">
        <is>
          <t>San Isidro</t>
        </is>
      </c>
      <c r="F17" s="11" t="n">
        <v>45839</v>
      </c>
      <c r="G17" s="10" t="inlineStr">
        <is>
          <t>11:00</t>
        </is>
      </c>
      <c r="H17" s="10" t="inlineStr"/>
      <c r="I17" s="10" t="inlineStr">
        <is>
          <t>Conocer el local, el estado de la red y los equipos de operación antes de implementar</t>
        </is>
      </c>
      <c r="J17" s="10" t="inlineStr">
        <is>
          <t>HELADERIA</t>
        </is>
      </c>
      <c r="K17" s="10" t="n"/>
      <c r="L17" s="10" t="n"/>
      <c r="M17" s="10" t="inlineStr">
        <is>
          <t>MOVISTAR</t>
        </is>
      </c>
      <c r="N17" s="10" t="inlineStr"/>
      <c r="O17" s="10" t="n"/>
      <c r="P17" s="10" t="n">
        <v>155.54</v>
      </c>
      <c r="Q17" s="10" t="n">
        <v>2.52</v>
      </c>
      <c r="R17" s="10" t="inlineStr">
        <is>
          <t>192.168.1.0/24</t>
        </is>
      </c>
      <c r="S17" s="10" t="inlineStr">
        <is>
          <t>SIN_DATO</t>
        </is>
      </c>
      <c r="T17" s="10" t="inlineStr">
        <is>
          <t>Kevin</t>
        </is>
      </c>
      <c r="U17" s="10" t="inlineStr">
        <is>
          <t>Roxana Sujara</t>
        </is>
      </c>
      <c r="V17" s="10" t="n"/>
      <c r="W17" s="10" t="inlineStr">
        <is>
          <t>Minuta_Gelato_Alore_M_Dasso.pdf</t>
        </is>
      </c>
      <c r="X17" s="10" t="inlineStr">
        <is>
          <t>Heladería. La tablet es la caja principal. Subida muy baja (2.52 Mbps). QR de WiFi: ver hoja kb_minuta_credencial.</t>
        </is>
      </c>
      <c r="Y17" s="12">
        <f>IF(A17="","",COUNTIF(kb_minuta_respuesta!$A$2:$A$2000,A17))</f>
        <v/>
      </c>
      <c r="Z17" s="12">
        <f>IF(A17="","",COUNTIFS(kb_minuta_recomendacion!$A$2:$A$2000,A17,kb_minuta_recomendacion!$C$2:$C$2000,"RECOMENDACION"))</f>
        <v/>
      </c>
      <c r="AA17" s="12">
        <f>IF(A17="","",COUNTIF(kb_minuta_recomendacion!$A$2:$A$2000,A17)-Z17)</f>
        <v/>
      </c>
    </row>
    <row r="18">
      <c r="A18" s="10" t="inlineStr">
        <is>
          <t>MH-017</t>
        </is>
      </c>
      <c r="B18" s="10" t="inlineStr">
        <is>
          <t>Gelato Alore</t>
        </is>
      </c>
      <c r="C18" s="10" t="inlineStr">
        <is>
          <t>Gelato Alore Ejército</t>
        </is>
      </c>
      <c r="D18" s="10" t="inlineStr">
        <is>
          <t>Av. del Ejército 395, Miraflores 15074</t>
        </is>
      </c>
      <c r="E18" s="10" t="inlineStr">
        <is>
          <t>Miraflores</t>
        </is>
      </c>
      <c r="F18" s="11" t="n">
        <v>45839</v>
      </c>
      <c r="G18" s="10" t="inlineStr">
        <is>
          <t>13:15</t>
        </is>
      </c>
      <c r="H18" s="10" t="inlineStr"/>
      <c r="I18" s="10" t="inlineStr">
        <is>
          <t>Conocer el local, el estado de la red y los equipos de operación antes de implementar</t>
        </is>
      </c>
      <c r="J18" s="10" t="inlineStr">
        <is>
          <t>HELADERIA</t>
        </is>
      </c>
      <c r="K18" s="10" t="n"/>
      <c r="L18" s="10" t="n"/>
      <c r="M18" s="10" t="inlineStr">
        <is>
          <t>MOVISTAR</t>
        </is>
      </c>
      <c r="N18" s="10" t="inlineStr"/>
      <c r="O18" s="10" t="n"/>
      <c r="P18" s="10" t="n">
        <v>89.44</v>
      </c>
      <c r="Q18" s="10" t="n">
        <v>89.61</v>
      </c>
      <c r="R18" s="10" t="inlineStr">
        <is>
          <t>192.168.5.0/24</t>
        </is>
      </c>
      <c r="S18" s="10" t="inlineStr">
        <is>
          <t>SIN_DATO</t>
        </is>
      </c>
      <c r="T18" s="10" t="inlineStr">
        <is>
          <t>Kevin</t>
        </is>
      </c>
      <c r="U18" s="10" t="inlineStr">
        <is>
          <t>Mirella León</t>
        </is>
      </c>
      <c r="V18" s="10" t="n"/>
      <c r="W18" s="10" t="inlineStr">
        <is>
          <t>Minuta_Gelato_Alore_Ejercito.pdf</t>
        </is>
      </c>
      <c r="X18" s="10" t="inlineStr">
        <is>
          <t>Heladería. QR de WiFi: ver hoja kb_minuta_credencial.</t>
        </is>
      </c>
      <c r="Y18" s="12">
        <f>IF(A18="","",COUNTIF(kb_minuta_respuesta!$A$2:$A$2000,A18))</f>
        <v/>
      </c>
      <c r="Z18" s="12">
        <f>IF(A18="","",COUNTIFS(kb_minuta_recomendacion!$A$2:$A$2000,A18,kb_minuta_recomendacion!$C$2:$C$2000,"RECOMENDACION"))</f>
        <v/>
      </c>
      <c r="AA18" s="12">
        <f>IF(A18="","",COUNTIF(kb_minuta_recomendacion!$A$2:$A$2000,A18)-Z18)</f>
        <v/>
      </c>
    </row>
    <row r="19">
      <c r="A19" s="10" t="inlineStr">
        <is>
          <t>MH-018</t>
        </is>
      </c>
      <c r="B19" s="10" t="inlineStr">
        <is>
          <t>Gelato Alore</t>
        </is>
      </c>
      <c r="C19" s="10" t="inlineStr">
        <is>
          <t>Gelato Alore 2 de Mayo</t>
        </is>
      </c>
      <c r="D19" s="10" t="inlineStr">
        <is>
          <t>Av. Dos de Mayo 1186, San Isidro 15073</t>
        </is>
      </c>
      <c r="E19" s="10" t="inlineStr">
        <is>
          <t>San Isidro</t>
        </is>
      </c>
      <c r="F19" s="11" t="n">
        <v>45839</v>
      </c>
      <c r="G19" s="10" t="inlineStr">
        <is>
          <t>15:40</t>
        </is>
      </c>
      <c r="H19" s="10" t="inlineStr"/>
      <c r="I19" s="10" t="inlineStr">
        <is>
          <t>Conocer el local, el estado de la red y los equipos de operación antes de implementar</t>
        </is>
      </c>
      <c r="J19" s="10" t="inlineStr">
        <is>
          <t>HELADERIA</t>
        </is>
      </c>
      <c r="K19" s="10" t="n"/>
      <c r="L19" s="10" t="n"/>
      <c r="M19" s="10" t="inlineStr">
        <is>
          <t>CLARO</t>
        </is>
      </c>
      <c r="N19" s="10" t="inlineStr"/>
      <c r="O19" s="10" t="n"/>
      <c r="P19" s="10" t="n">
        <v>233.24</v>
      </c>
      <c r="Q19" s="10" t="n">
        <v>55.05</v>
      </c>
      <c r="R19" s="10" t="inlineStr">
        <is>
          <t>192.168.0.0/24</t>
        </is>
      </c>
      <c r="S19" s="10" t="inlineStr">
        <is>
          <t>SIN_DATO</t>
        </is>
      </c>
      <c r="T19" s="10" t="inlineStr">
        <is>
          <t>Kevin</t>
        </is>
      </c>
      <c r="U19" s="10" t="inlineStr">
        <is>
          <t>Blanca Coronel</t>
        </is>
      </c>
      <c r="V19" s="10" t="n"/>
      <c r="W19" s="10" t="inlineStr">
        <is>
          <t>Minuta_Gelato_Alore_2_de_Mayo.pdf</t>
        </is>
      </c>
      <c r="X19" s="10" t="inlineStr">
        <is>
          <t>Heladería. Prueba adicional por WiFi móvil: 89.44 / 89.61 Mbps. QR de WiFi: ver hoja kb_minuta_credencial.</t>
        </is>
      </c>
      <c r="Y19" s="12">
        <f>IF(A19="","",COUNTIF(kb_minuta_respuesta!$A$2:$A$2000,A19))</f>
        <v/>
      </c>
      <c r="Z19" s="12">
        <f>IF(A19="","",COUNTIFS(kb_minuta_recomendacion!$A$2:$A$2000,A19,kb_minuta_recomendacion!$C$2:$C$2000,"RECOMENDACION"))</f>
        <v/>
      </c>
      <c r="AA19" s="12">
        <f>IF(A19="","",COUNTIF(kb_minuta_recomendacion!$A$2:$A$2000,A19)-Z19)</f>
        <v/>
      </c>
    </row>
    <row r="20">
      <c r="A20" s="10" t="inlineStr">
        <is>
          <t>MH-019</t>
        </is>
      </c>
      <c r="B20" s="10" t="inlineStr">
        <is>
          <t>ALF Sandwiches</t>
        </is>
      </c>
      <c r="C20" s="10" t="inlineStr">
        <is>
          <t>ALF Sandwiches</t>
        </is>
      </c>
      <c r="D20" s="10" t="inlineStr">
        <is>
          <t>Nicolás de Piérola 431, Barranco</t>
        </is>
      </c>
      <c r="E20" s="10" t="inlineStr">
        <is>
          <t>Barranco</t>
        </is>
      </c>
      <c r="F20" s="11" t="n">
        <v>45586</v>
      </c>
      <c r="G20" s="10" t="inlineStr">
        <is>
          <t>19:00</t>
        </is>
      </c>
      <c r="H20" s="10" t="inlineStr"/>
      <c r="I20" s="10" t="inlineStr"/>
      <c r="J20" s="10" t="inlineStr">
        <is>
          <t>FAST_FOOD</t>
        </is>
      </c>
      <c r="K20" s="10" t="n"/>
      <c r="L20" s="10" t="n">
        <v>1</v>
      </c>
      <c r="M20" s="10" t="inlineStr"/>
      <c r="N20" s="10" t="inlineStr"/>
      <c r="O20" s="10" t="n"/>
      <c r="P20" s="10" t="n">
        <v>322.45</v>
      </c>
      <c r="Q20" s="10" t="n"/>
      <c r="R20" s="10" t="inlineStr"/>
      <c r="S20" s="10" t="inlineStr">
        <is>
          <t>SIN_DATO</t>
        </is>
      </c>
      <c r="T20" s="10" t="inlineStr">
        <is>
          <t>Yomira Mora, Brandon Grados</t>
        </is>
      </c>
      <c r="U20" s="10" t="inlineStr">
        <is>
          <t>Einar Paulsen</t>
        </is>
      </c>
      <c r="V20" s="10" t="n"/>
      <c r="W20" s="10" t="inlineStr">
        <is>
          <t>Minuta de Visita Técnica - ALF SANDWICHES.pdf</t>
        </is>
      </c>
      <c r="X20" s="10" t="inlineStr">
        <is>
          <t>Ya tiene 1 Sunmi V2 Pro con IDPos. Ventas rápidas en caja: no se consideran las mesas. Router a 12 m de la caja.</t>
        </is>
      </c>
      <c r="Y20" s="12">
        <f>IF(A20="","",COUNTIF(kb_minuta_respuesta!$A$2:$A$2000,A20))</f>
        <v/>
      </c>
      <c r="Z20" s="12">
        <f>IF(A20="","",COUNTIFS(kb_minuta_recomendacion!$A$2:$A$2000,A20,kb_minuta_recomendacion!$C$2:$C$2000,"RECOMENDACION"))</f>
        <v/>
      </c>
      <c r="AA20" s="12">
        <f>IF(A20="","",COUNTIF(kb_minuta_recomendacion!$A$2:$A$2000,A20)-Z20)</f>
        <v/>
      </c>
    </row>
    <row r="21">
      <c r="A21" s="10" t="inlineStr">
        <is>
          <t>MH-020</t>
        </is>
      </c>
      <c r="B21" s="10" t="inlineStr">
        <is>
          <t>La Carpita del Sabor</t>
        </is>
      </c>
      <c r="C21" s="10" t="inlineStr">
        <is>
          <t>La Carpita del Sabor</t>
        </is>
      </c>
      <c r="D21" s="10" t="inlineStr">
        <is>
          <t>Av. San Luis 2656, San Borja 15037</t>
        </is>
      </c>
      <c r="E21" s="10" t="inlineStr">
        <is>
          <t>San Borja</t>
        </is>
      </c>
      <c r="F21" s="11" t="n">
        <v>45665</v>
      </c>
      <c r="G21" s="10" t="inlineStr">
        <is>
          <t>22:00</t>
        </is>
      </c>
      <c r="H21" s="10" t="inlineStr"/>
      <c r="I21" s="10" t="inlineStr"/>
      <c r="J21" s="10" t="inlineStr">
        <is>
          <t>RESTAURANTE</t>
        </is>
      </c>
      <c r="K21" s="10" t="n">
        <v>2</v>
      </c>
      <c r="L21" s="10" t="n">
        <v>1</v>
      </c>
      <c r="M21" s="10" t="inlineStr"/>
      <c r="N21" s="10" t="inlineStr"/>
      <c r="O21" s="10" t="n"/>
      <c r="P21" s="10" t="n"/>
      <c r="Q21" s="10" t="n"/>
      <c r="R21" s="10" t="inlineStr"/>
      <c r="S21" s="10" t="inlineStr">
        <is>
          <t>SIN_DATO</t>
        </is>
      </c>
      <c r="T21" s="10" t="inlineStr">
        <is>
          <t>Kevin</t>
        </is>
      </c>
      <c r="U21" s="10" t="inlineStr">
        <is>
          <t>Yessenia</t>
        </is>
      </c>
      <c r="V21" s="10" t="n"/>
      <c r="W21" s="10" t="inlineStr">
        <is>
          <t>Minuta de Visita técnica - La Carpita del Sabor.pdf</t>
        </is>
      </c>
      <c r="X21" s="10" t="inlineStr">
        <is>
          <t>Restaurante con barras. Router y switch en caja. Impresoras: caja, cocina, bebidas/postres/vinos (piso 1) y barra piso 2–terraza. Reestructurar el cableado no impide el inicio. El PDF llegó dos veces.</t>
        </is>
      </c>
      <c r="Y21" s="12">
        <f>IF(A21="","",COUNTIF(kb_minuta_respuesta!$A$2:$A$2000,A21))</f>
        <v/>
      </c>
      <c r="Z21" s="12">
        <f>IF(A21="","",COUNTIFS(kb_minuta_recomendacion!$A$2:$A$2000,A21,kb_minuta_recomendacion!$C$2:$C$2000,"RECOMENDACION"))</f>
        <v/>
      </c>
      <c r="AA21" s="12">
        <f>IF(A21="","",COUNTIF(kb_minuta_recomendacion!$A$2:$A$2000,A21)-Z21)</f>
        <v/>
      </c>
    </row>
    <row r="22">
      <c r="A22" s="10" t="inlineStr">
        <is>
          <t>MH-021</t>
        </is>
      </c>
      <c r="B22" s="10" t="inlineStr">
        <is>
          <t>Los Juárez</t>
        </is>
      </c>
      <c r="C22" s="10" t="inlineStr">
        <is>
          <t>Los Juárez Asia</t>
        </is>
      </c>
      <c r="D22" s="10" t="inlineStr">
        <is>
          <t>Boulevard de Asia</t>
        </is>
      </c>
      <c r="E22" s="10" t="inlineStr">
        <is>
          <t>Asia</t>
        </is>
      </c>
      <c r="F22" s="11" t="n">
        <v>46021</v>
      </c>
      <c r="G22" s="10" t="inlineStr">
        <is>
          <t>12:30</t>
        </is>
      </c>
      <c r="H22" s="10" t="inlineStr">
        <is>
          <t>POR_INAUGURAR</t>
        </is>
      </c>
      <c r="I22" s="10" t="inlineStr"/>
      <c r="J22" s="10" t="inlineStr">
        <is>
          <t>RESTOBAR</t>
        </is>
      </c>
      <c r="K22" s="10" t="n">
        <v>2</v>
      </c>
      <c r="L22" s="10" t="n"/>
      <c r="M22" s="10" t="inlineStr"/>
      <c r="N22" s="10" t="inlineStr">
        <is>
          <t>NO_TIENE</t>
        </is>
      </c>
      <c r="O22" s="10" t="n"/>
      <c r="P22" s="10" t="n"/>
      <c r="Q22" s="10" t="n"/>
      <c r="R22" s="10" t="inlineStr"/>
      <c r="S22" s="10" t="inlineStr">
        <is>
          <t>SIN_DATO</t>
        </is>
      </c>
      <c r="T22" s="10" t="inlineStr">
        <is>
          <t>Kevin</t>
        </is>
      </c>
      <c r="U22" s="10" t="inlineStr">
        <is>
          <t>Jesús Pinto</t>
        </is>
      </c>
      <c r="V22" s="10" t="n"/>
      <c r="W22" s="10" t="inlineStr">
        <is>
          <t>Minuta de visita técnica - Los Juarez Asia.pdf</t>
        </is>
      </c>
      <c r="X22" s="10" t="inlineStr">
        <is>
          <t>Aún sin puntos de red ni servicio de internet, y sin impresoras. Adquirirá Sunmi con Izipay, impresoras y 2 pantallas para caja.</t>
        </is>
      </c>
      <c r="Y22" s="12">
        <f>IF(A22="","",COUNTIF(kb_minuta_respuesta!$A$2:$A$2000,A22))</f>
        <v/>
      </c>
      <c r="Z22" s="12">
        <f>IF(A22="","",COUNTIFS(kb_minuta_recomendacion!$A$2:$A$2000,A22,kb_minuta_recomendacion!$C$2:$C$2000,"RECOMENDACION"))</f>
        <v/>
      </c>
      <c r="AA22" s="12">
        <f>IF(A22="","",COUNTIF(kb_minuta_recomendacion!$A$2:$A$2000,A22)-Z22)</f>
        <v/>
      </c>
    </row>
    <row r="23">
      <c r="A23" s="10" t="inlineStr">
        <is>
          <t>MH-022</t>
        </is>
      </c>
      <c r="B23" s="10" t="inlineStr">
        <is>
          <t>Mala Vida</t>
        </is>
      </c>
      <c r="C23" s="10" t="inlineStr">
        <is>
          <t>Mala Vida</t>
        </is>
      </c>
      <c r="D23" s="10" t="inlineStr">
        <is>
          <t>Calle Tarata 150, Miraflores</t>
        </is>
      </c>
      <c r="E23" s="10" t="inlineStr">
        <is>
          <t>Miraflores</t>
        </is>
      </c>
      <c r="F23" s="11" t="n">
        <v>45786</v>
      </c>
      <c r="G23" s="10" t="inlineStr">
        <is>
          <t>11:00</t>
        </is>
      </c>
      <c r="H23" s="10" t="inlineStr"/>
      <c r="I23" s="10" t="inlineStr"/>
      <c r="J23" s="10" t="inlineStr">
        <is>
          <t>DISCOTECA_BAR</t>
        </is>
      </c>
      <c r="K23" s="10" t="n"/>
      <c r="L23" s="10" t="n"/>
      <c r="M23" s="10" t="inlineStr">
        <is>
          <t>WIN</t>
        </is>
      </c>
      <c r="N23" s="10" t="inlineStr"/>
      <c r="O23" s="10" t="n"/>
      <c r="P23" s="10" t="n"/>
      <c r="Q23" s="10" t="n"/>
      <c r="R23" s="10" t="inlineStr"/>
      <c r="S23" s="10" t="inlineStr">
        <is>
          <t>SIN_DATO</t>
        </is>
      </c>
      <c r="T23" s="10" t="inlineStr">
        <is>
          <t>Kevin, Sera</t>
        </is>
      </c>
      <c r="U23" s="10" t="inlineStr">
        <is>
          <t>Eduardo Salas</t>
        </is>
      </c>
      <c r="V23" s="10" t="n"/>
      <c r="W23" s="10" t="inlineStr">
        <is>
          <t>Minuta de Visita técnica - Mala Vida.docx</t>
        </is>
      </c>
      <c r="X23" s="10" t="inlineStr">
        <is>
          <t>Entrega de equipos antes del inicio. Barra 1: 2 Sunmi T2 mini + impresora 3nStar RPT008; Barra 2: 1 Sunmi T2 mini + impresora. La laptop no se queda: viabilizar Raspberry o la PC del DJ. Claves WiFi y usuario de la laptop: ver hoja kb_minuta_credencial.</t>
        </is>
      </c>
      <c r="Y23" s="12">
        <f>IF(A23="","",COUNTIF(kb_minuta_respuesta!$A$2:$A$2000,A23))</f>
        <v/>
      </c>
      <c r="Z23" s="12">
        <f>IF(A23="","",COUNTIFS(kb_minuta_recomendacion!$A$2:$A$2000,A23,kb_minuta_recomendacion!$C$2:$C$2000,"RECOMENDACION"))</f>
        <v/>
      </c>
      <c r="AA23" s="12">
        <f>IF(A23="","",COUNTIF(kb_minuta_recomendacion!$A$2:$A$2000,A23)-Z23)</f>
        <v/>
      </c>
    </row>
    <row r="24">
      <c r="A24" s="10" t="inlineStr">
        <is>
          <t>MH-023</t>
        </is>
      </c>
      <c r="B24" s="10" t="inlineStr">
        <is>
          <t>Huambra</t>
        </is>
      </c>
      <c r="C24" s="10" t="inlineStr">
        <is>
          <t>Huambra</t>
        </is>
      </c>
      <c r="D24" s="10" t="inlineStr">
        <is>
          <t>Miraflores</t>
        </is>
      </c>
      <c r="E24" s="10" t="inlineStr">
        <is>
          <t>Miraflores</t>
        </is>
      </c>
      <c r="F24" s="11" t="n">
        <v>45607</v>
      </c>
      <c r="G24" s="10" t="inlineStr">
        <is>
          <t>15:00</t>
        </is>
      </c>
      <c r="H24" s="10" t="inlineStr"/>
      <c r="I24" s="10" t="inlineStr"/>
      <c r="J24" s="10" t="inlineStr">
        <is>
          <t>RESTAURANTE</t>
        </is>
      </c>
      <c r="K24" s="10" t="n"/>
      <c r="L24" s="10" t="n">
        <v>1</v>
      </c>
      <c r="M24" s="10" t="inlineStr"/>
      <c r="N24" s="10" t="inlineStr"/>
      <c r="O24" s="10" t="n"/>
      <c r="P24" s="10" t="n"/>
      <c r="Q24" s="10" t="n"/>
      <c r="R24" s="10" t="inlineStr">
        <is>
          <t>192.168.18.x</t>
        </is>
      </c>
      <c r="S24" s="10" t="inlineStr">
        <is>
          <t>SIN_DATO</t>
        </is>
      </c>
      <c r="T24" s="10" t="inlineStr">
        <is>
          <t>Kevin</t>
        </is>
      </c>
      <c r="U24" s="10" t="inlineStr">
        <is>
          <t>Juan Pablo</t>
        </is>
      </c>
      <c r="V24" s="10" t="n"/>
      <c r="W24" s="10" t="inlineStr">
        <is>
          <t>Minuta de Visita Técnica Huambra.docx</t>
        </is>
      </c>
      <c r="X24" s="10" t="inlineStr">
        <is>
          <t>Instalación: Raspberry en caja; impresoras caja, barra, cocina y empaquetados en el mismo segmento; pantallas Sunmi D2 mini en patio y salón principal.</t>
        </is>
      </c>
      <c r="Y24" s="12">
        <f>IF(A24="","",COUNTIF(kb_minuta_respuesta!$A$2:$A$2000,A24))</f>
        <v/>
      </c>
      <c r="Z24" s="12">
        <f>IF(A24="","",COUNTIFS(kb_minuta_recomendacion!$A$2:$A$2000,A24,kb_minuta_recomendacion!$C$2:$C$2000,"RECOMENDACION"))</f>
        <v/>
      </c>
      <c r="AA24" s="12">
        <f>IF(A24="","",COUNTIF(kb_minuta_recomendacion!$A$2:$A$2000,A24)-Z24)</f>
        <v/>
      </c>
    </row>
    <row r="25">
      <c r="A25" s="10" t="inlineStr">
        <is>
          <t>MH-024</t>
        </is>
      </c>
      <c r="B25" s="10" t="inlineStr">
        <is>
          <t>Saltao</t>
        </is>
      </c>
      <c r="C25" s="10" t="inlineStr">
        <is>
          <t>Saltao Larcomar</t>
        </is>
      </c>
      <c r="D25" s="10" t="inlineStr">
        <is>
          <t>Sótano 3 Larcomar (patio de comidas)</t>
        </is>
      </c>
      <c r="E25" s="10" t="inlineStr">
        <is>
          <t>Miraflores</t>
        </is>
      </c>
      <c r="F25" s="11" t="n">
        <v>45332</v>
      </c>
      <c r="G25" s="10" t="inlineStr">
        <is>
          <t>11:00</t>
        </is>
      </c>
      <c r="H25" s="10" t="inlineStr"/>
      <c r="I25" s="10" t="inlineStr"/>
      <c r="J25" s="10" t="inlineStr">
        <is>
          <t>FAST_FOOD</t>
        </is>
      </c>
      <c r="K25" s="10" t="n"/>
      <c r="L25" s="10" t="n">
        <v>1</v>
      </c>
      <c r="M25" s="10" t="inlineStr">
        <is>
          <t>ENTEL</t>
        </is>
      </c>
      <c r="N25" s="10" t="inlineStr">
        <is>
          <t>CHIP</t>
        </is>
      </c>
      <c r="O25" s="10" t="n"/>
      <c r="P25" s="10" t="n"/>
      <c r="Q25" s="10" t="n"/>
      <c r="R25" s="10" t="inlineStr">
        <is>
          <t>192.168.0.x</t>
        </is>
      </c>
      <c r="S25" s="10" t="inlineStr">
        <is>
          <t>SIN_DATO</t>
        </is>
      </c>
      <c r="T25" s="10" t="inlineStr">
        <is>
          <t>Kevin Flores</t>
        </is>
      </c>
      <c r="U25" s="10" t="inlineStr">
        <is>
          <t>Vanessa Chinen, Sharon Rabanal</t>
        </is>
      </c>
      <c r="V25" s="10" t="n"/>
      <c r="W25" s="10" t="inlineStr">
        <is>
          <t>Minuta Instalación Técnica Saltao Larcomar.docx</t>
        </is>
      </c>
      <c r="X25" s="10" t="inlineStr">
        <is>
          <t>Patio de comidas: TP-Link con chip Entel. Sin puntos de red; la cobertura WiFi no llega al 100 %: TP-Link en el punto más alto con canaleta y extensión. Clave del TP-Link, red WiFi y puerto del Raspberry: ver hoja kb_minuta_credencial. Ubicación (Larcomar o El Refugio) por confirmar con el equipo.</t>
        </is>
      </c>
      <c r="Y25" s="12">
        <f>IF(A25="","",COUNTIF(kb_minuta_respuesta!$A$2:$A$2000,A25))</f>
        <v/>
      </c>
      <c r="Z25" s="12">
        <f>IF(A25="","",COUNTIFS(kb_minuta_recomendacion!$A$2:$A$2000,A25,kb_minuta_recomendacion!$C$2:$C$2000,"RECOMENDACION"))</f>
        <v/>
      </c>
      <c r="AA25" s="12">
        <f>IF(A25="","",COUNTIF(kb_minuta_recomendacion!$A$2:$A$2000,A25)-Z25)</f>
        <v/>
      </c>
    </row>
    <row r="26">
      <c r="A26" s="10" t="inlineStr">
        <is>
          <t>MH-025</t>
        </is>
      </c>
      <c r="B26" s="10" t="inlineStr">
        <is>
          <t>Maki Sam</t>
        </is>
      </c>
      <c r="C26" s="10" t="inlineStr">
        <is>
          <t>Maki Sam Real Plaza</t>
        </is>
      </c>
      <c r="D26" s="10" t="inlineStr">
        <is>
          <t>Real Plaza Trujillo</t>
        </is>
      </c>
      <c r="E26" s="10" t="inlineStr">
        <is>
          <t>Trujillo</t>
        </is>
      </c>
      <c r="F26" s="11" t="n">
        <v>45580</v>
      </c>
      <c r="G26" s="10" t="inlineStr">
        <is>
          <t>10:00</t>
        </is>
      </c>
      <c r="H26" s="10" t="inlineStr"/>
      <c r="I26" s="10" t="inlineStr"/>
      <c r="J26" s="10" t="inlineStr">
        <is>
          <t>REST_ORIENTAL</t>
        </is>
      </c>
      <c r="K26" s="10" t="n"/>
      <c r="L26" s="10" t="n">
        <v>1</v>
      </c>
      <c r="M26" s="10" t="inlineStr"/>
      <c r="N26" s="10" t="inlineStr">
        <is>
          <t>FIBRA</t>
        </is>
      </c>
      <c r="O26" s="10" t="n"/>
      <c r="P26" s="10" t="n"/>
      <c r="Q26" s="10" t="n"/>
      <c r="R26" s="10" t="inlineStr">
        <is>
          <t>192.168.1.x</t>
        </is>
      </c>
      <c r="S26" s="10" t="inlineStr">
        <is>
          <t>SIN_DATO</t>
        </is>
      </c>
      <c r="T26" s="10" t="inlineStr">
        <is>
          <t>Kimberly Huamani</t>
        </is>
      </c>
      <c r="U26" s="10" t="inlineStr">
        <is>
          <t>Vanessa</t>
        </is>
      </c>
      <c r="V26" s="10" t="n"/>
      <c r="W26" s="10" t="inlineStr">
        <is>
          <t>Minuta Técnica Maki Sam Real plaza.docx</t>
        </is>
      </c>
      <c r="X26" s="10" t="inlineStr">
        <is>
          <t>Tercer local, en patio de comidas. 4 impresoras Bienex (caja, barra sushi, bar, cocina) pasadas al mismo segmento con cable USB; laptop propia del local. ID de AnyDesk: ver hoja kb_minuta_credencial.</t>
        </is>
      </c>
      <c r="Y26" s="12">
        <f>IF(A26="","",COUNTIF(kb_minuta_respuesta!$A$2:$A$2000,A26))</f>
        <v/>
      </c>
      <c r="Z26" s="12">
        <f>IF(A26="","",COUNTIFS(kb_minuta_recomendacion!$A$2:$A$2000,A26,kb_minuta_recomendacion!$C$2:$C$2000,"RECOMENDACION"))</f>
        <v/>
      </c>
      <c r="AA26" s="12">
        <f>IF(A26="","",COUNTIF(kb_minuta_recomendacion!$A$2:$A$2000,A26)-Z26)</f>
        <v/>
      </c>
    </row>
    <row r="27">
      <c r="A27" s="10" t="inlineStr">
        <is>
          <t>MH-026</t>
        </is>
      </c>
      <c r="B27" s="10" t="inlineStr">
        <is>
          <t>Maki Sam</t>
        </is>
      </c>
      <c r="C27" s="10" t="inlineStr">
        <is>
          <t>Maki Sam Primavera</t>
        </is>
      </c>
      <c r="D27" s="10" t="inlineStr">
        <is>
          <t>Maki Sam sede centro</t>
        </is>
      </c>
      <c r="E27" s="10" t="inlineStr"/>
      <c r="F27" s="11" t="n">
        <v>45580</v>
      </c>
      <c r="G27" s="10" t="inlineStr"/>
      <c r="H27" s="10" t="inlineStr">
        <is>
          <t>EN_OPERACION</t>
        </is>
      </c>
      <c r="I27" s="10" t="inlineStr">
        <is>
          <t>La impresora de caja se conecta y desconecta: la entrada del cable de red está floja</t>
        </is>
      </c>
      <c r="J27" s="10" t="inlineStr">
        <is>
          <t>REST_ORIENTAL</t>
        </is>
      </c>
      <c r="K27" s="10" t="n"/>
      <c r="L27" s="10" t="n">
        <v>1</v>
      </c>
      <c r="M27" s="10" t="inlineStr"/>
      <c r="N27" s="10" t="inlineStr"/>
      <c r="O27" s="10" t="n"/>
      <c r="P27" s="10" t="n"/>
      <c r="Q27" s="10" t="n"/>
      <c r="R27" s="10" t="inlineStr"/>
      <c r="S27" s="10" t="inlineStr">
        <is>
          <t>SIN_DATO</t>
        </is>
      </c>
      <c r="T27" s="10" t="inlineStr">
        <is>
          <t>Kimberly Huamani</t>
        </is>
      </c>
      <c r="U27" s="10" t="inlineStr">
        <is>
          <t>Kelly Sayan</t>
        </is>
      </c>
      <c r="V27" s="10" t="n"/>
      <c r="W27" s="10" t="inlineStr">
        <is>
          <t>Minuta Técnica makisamprimavera.docx</t>
        </is>
      </c>
      <c r="X27" s="10" t="inlineStr">
        <is>
          <t>Minuta corta: solo antecedentes.</t>
        </is>
      </c>
      <c r="Y27" s="12">
        <f>IF(A27="","",COUNTIF(kb_minuta_respuesta!$A$2:$A$2000,A27))</f>
        <v/>
      </c>
      <c r="Z27" s="12">
        <f>IF(A27="","",COUNTIFS(kb_minuta_recomendacion!$A$2:$A$2000,A27,kb_minuta_recomendacion!$C$2:$C$2000,"RECOMENDACION"))</f>
        <v/>
      </c>
      <c r="AA27" s="12">
        <f>IF(A27="","",COUNTIF(kb_minuta_recomendacion!$A$2:$A$2000,A27)-Z27)</f>
        <v/>
      </c>
    </row>
    <row r="28">
      <c r="A28" s="10" t="inlineStr">
        <is>
          <t>MH-027</t>
        </is>
      </c>
      <c r="B28" s="10" t="inlineStr">
        <is>
          <t>Gourmety</t>
        </is>
      </c>
      <c r="C28" s="10" t="inlineStr">
        <is>
          <t>Gourmety</t>
        </is>
      </c>
      <c r="D28" s="10" t="inlineStr">
        <is>
          <t>Av. Rivera Navarrete 575, San Isidro</t>
        </is>
      </c>
      <c r="E28" s="10" t="inlineStr">
        <is>
          <t>San Isidro</t>
        </is>
      </c>
      <c r="F28" s="11" t="n">
        <v>45727</v>
      </c>
      <c r="G28" s="10" t="inlineStr">
        <is>
          <t>12:30</t>
        </is>
      </c>
      <c r="H28" s="10" t="inlineStr">
        <is>
          <t>EN_OBRA</t>
        </is>
      </c>
      <c r="I28" s="10" t="inlineStr"/>
      <c r="J28" s="10" t="inlineStr">
        <is>
          <t>CAFETERIA</t>
        </is>
      </c>
      <c r="K28" s="10" t="n">
        <v>2</v>
      </c>
      <c r="L28" s="10" t="n">
        <v>1</v>
      </c>
      <c r="M28" s="10" t="inlineStr"/>
      <c r="N28" s="10" t="inlineStr"/>
      <c r="O28" s="10" t="n"/>
      <c r="P28" s="10" t="n"/>
      <c r="Q28" s="10" t="n"/>
      <c r="R28" s="10" t="inlineStr"/>
      <c r="S28" s="10" t="inlineStr">
        <is>
          <t>SIN_DATO</t>
        </is>
      </c>
      <c r="T28" s="10" t="inlineStr">
        <is>
          <t>Fabián Guadiamos, Sera Ghafari</t>
        </is>
      </c>
      <c r="U28" s="10" t="inlineStr">
        <is>
          <t>Joanna</t>
        </is>
      </c>
      <c r="V28" s="10" t="n"/>
      <c r="W28" s="10" t="inlineStr">
        <is>
          <t>Minuta Visita Técnica - Gourmety 11.03.22 (1).docx</t>
        </is>
      </c>
      <c r="X28" s="10" t="inlineStr">
        <is>
          <t>Local en obra: puntos de red y de corriente se instalan del 16 al 22/03. El nombre del archivo dice 11.03.22, pero la fecha es 2025.</t>
        </is>
      </c>
      <c r="Y28" s="12">
        <f>IF(A28="","",COUNTIF(kb_minuta_respuesta!$A$2:$A$2000,A28))</f>
        <v/>
      </c>
      <c r="Z28" s="12">
        <f>IF(A28="","",COUNTIFS(kb_minuta_recomendacion!$A$2:$A$2000,A28,kb_minuta_recomendacion!$C$2:$C$2000,"RECOMENDACION"))</f>
        <v/>
      </c>
      <c r="AA28" s="12">
        <f>IF(A28="","",COUNTIF(kb_minuta_recomendacion!$A$2:$A$2000,A28)-Z28)</f>
        <v/>
      </c>
    </row>
    <row r="29">
      <c r="A29" s="10" t="inlineStr">
        <is>
          <t>MH-028</t>
        </is>
      </c>
      <c r="B29" s="10" t="inlineStr">
        <is>
          <t>Bros</t>
        </is>
      </c>
      <c r="C29" s="10" t="inlineStr">
        <is>
          <t>Bros – Refugio Gastronómico</t>
        </is>
      </c>
      <c r="D29" s="10" t="inlineStr">
        <is>
          <t>Refugio Gastronómico</t>
        </is>
      </c>
      <c r="E29" s="10" t="inlineStr">
        <is>
          <t>Santiago de Surco</t>
        </is>
      </c>
      <c r="F29" s="11" t="n">
        <v>45372</v>
      </c>
      <c r="G29" s="10" t="inlineStr">
        <is>
          <t>13:00</t>
        </is>
      </c>
      <c r="H29" s="10" t="inlineStr"/>
      <c r="I29" s="10" t="inlineStr"/>
      <c r="J29" s="10" t="inlineStr">
        <is>
          <t>FAST_FOOD</t>
        </is>
      </c>
      <c r="K29" s="10" t="n"/>
      <c r="L29" s="10" t="n">
        <v>1</v>
      </c>
      <c r="M29" s="10" t="inlineStr"/>
      <c r="N29" s="10" t="inlineStr"/>
      <c r="O29" s="10" t="n"/>
      <c r="P29" s="10" t="n">
        <v>94.42</v>
      </c>
      <c r="Q29" s="10" t="n"/>
      <c r="R29" s="10" t="inlineStr"/>
      <c r="S29" s="10" t="inlineStr">
        <is>
          <t>SIN_DATO</t>
        </is>
      </c>
      <c r="T29" s="10" t="inlineStr">
        <is>
          <t>Nelson Luque</t>
        </is>
      </c>
      <c r="U29" s="10" t="inlineStr">
        <is>
          <t>Vanessa, Elio</t>
        </is>
      </c>
      <c r="V29" s="10" t="n"/>
      <c r="W29" s="10" t="inlineStr">
        <is>
          <t>Minuta Visita Técnica bros.docx</t>
        </is>
      </c>
      <c r="X29" s="10" t="inlineStr">
        <is>
          <t>Patio gastronómico. Laptop conectada directo al router. Las minutas de Juicy Lucy – Larco (y V2) tienen este mismo texto: no se cargaron.</t>
        </is>
      </c>
      <c r="Y29" s="12">
        <f>IF(A29="","",COUNTIF(kb_minuta_respuesta!$A$2:$A$2000,A29))</f>
        <v/>
      </c>
      <c r="Z29" s="12">
        <f>IF(A29="","",COUNTIFS(kb_minuta_recomendacion!$A$2:$A$2000,A29,kb_minuta_recomendacion!$C$2:$C$2000,"RECOMENDACION"))</f>
        <v/>
      </c>
      <c r="AA29" s="12">
        <f>IF(A29="","",COUNTIF(kb_minuta_recomendacion!$A$2:$A$2000,A29)-Z29)</f>
        <v/>
      </c>
    </row>
    <row r="30">
      <c r="A30" s="10" t="inlineStr">
        <is>
          <t>MH-029</t>
        </is>
      </c>
      <c r="B30" s="10" t="inlineStr">
        <is>
          <t>El Chito</t>
        </is>
      </c>
      <c r="C30" s="10" t="inlineStr">
        <is>
          <t>El Chito</t>
        </is>
      </c>
      <c r="D30" s="10" t="inlineStr"/>
      <c r="E30" s="10" t="inlineStr"/>
      <c r="F30" s="11" t="n">
        <v>45210</v>
      </c>
      <c r="G30" s="10" t="inlineStr">
        <is>
          <t>16:00</t>
        </is>
      </c>
      <c r="H30" s="10" t="inlineStr"/>
      <c r="I30" s="10" t="inlineStr"/>
      <c r="J30" s="10" t="inlineStr">
        <is>
          <t>REST_PESCADOS</t>
        </is>
      </c>
      <c r="K30" s="10" t="n"/>
      <c r="L30" s="10" t="n">
        <v>1</v>
      </c>
      <c r="M30" s="10" t="inlineStr">
        <is>
          <t>MOVISTAR</t>
        </is>
      </c>
      <c r="N30" s="10" t="inlineStr">
        <is>
          <t>FIBRA</t>
        </is>
      </c>
      <c r="O30" s="10" t="n">
        <v>1000</v>
      </c>
      <c r="P30" s="10" t="n"/>
      <c r="Q30" s="10" t="n"/>
      <c r="R30" s="10" t="inlineStr"/>
      <c r="S30" s="10" t="inlineStr">
        <is>
          <t>SIN_DATO</t>
        </is>
      </c>
      <c r="T30" s="10" t="inlineStr">
        <is>
          <t>Kevin Flores</t>
        </is>
      </c>
      <c r="U30" s="10" t="inlineStr">
        <is>
          <t>Leonardo, Rosbeyli</t>
        </is>
      </c>
      <c r="V30" s="10" t="n"/>
      <c r="W30" s="10" t="inlineStr">
        <is>
          <t>Minuta Visita Técnica El Chito.docx</t>
        </is>
      </c>
      <c r="X30" s="10" t="inlineStr">
        <is>
          <t>El cableado y los puntos de red se estaban instalando ese día. Impresoras: cocina y caja-barra.</t>
        </is>
      </c>
      <c r="Y30" s="12">
        <f>IF(A30="","",COUNTIF(kb_minuta_respuesta!$A$2:$A$2000,A30))</f>
        <v/>
      </c>
      <c r="Z30" s="12">
        <f>IF(A30="","",COUNTIFS(kb_minuta_recomendacion!$A$2:$A$2000,A30,kb_minuta_recomendacion!$C$2:$C$2000,"RECOMENDACION"))</f>
        <v/>
      </c>
      <c r="AA30" s="12">
        <f>IF(A30="","",COUNTIF(kb_minuta_recomendacion!$A$2:$A$2000,A30)-Z30)</f>
        <v/>
      </c>
    </row>
    <row r="31">
      <c r="A31" s="10" t="inlineStr">
        <is>
          <t>MH-030</t>
        </is>
      </c>
      <c r="B31" s="10" t="inlineStr">
        <is>
          <t>Shimaya Ramen</t>
        </is>
      </c>
      <c r="C31" s="10" t="inlineStr">
        <is>
          <t>Shimaya Comas</t>
        </is>
      </c>
      <c r="D31" s="10" t="inlineStr">
        <is>
          <t>Av. Los Ángeles 602, local FC-3041, 3er nivel</t>
        </is>
      </c>
      <c r="E31" s="10" t="inlineStr">
        <is>
          <t>Comas</t>
        </is>
      </c>
      <c r="F31" s="11" t="n">
        <v>45360</v>
      </c>
      <c r="G31" s="10" t="inlineStr">
        <is>
          <t>11:00</t>
        </is>
      </c>
      <c r="H31" s="10" t="inlineStr"/>
      <c r="I31" s="10" t="inlineStr"/>
      <c r="J31" s="10" t="inlineStr">
        <is>
          <t>REST_ORIENTAL</t>
        </is>
      </c>
      <c r="K31" s="10" t="n"/>
      <c r="L31" s="10" t="n">
        <v>1</v>
      </c>
      <c r="M31" s="10" t="inlineStr">
        <is>
          <t>WIN</t>
        </is>
      </c>
      <c r="N31" s="10" t="inlineStr">
        <is>
          <t>FIBRA</t>
        </is>
      </c>
      <c r="O31" s="10" t="n"/>
      <c r="P31" s="10" t="n"/>
      <c r="Q31" s="10" t="n"/>
      <c r="R31" s="10" t="inlineStr">
        <is>
          <t>192.168.100.x</t>
        </is>
      </c>
      <c r="S31" s="10" t="inlineStr">
        <is>
          <t>SIN_DATO</t>
        </is>
      </c>
      <c r="T31" s="10" t="inlineStr">
        <is>
          <t>Kevin</t>
        </is>
      </c>
      <c r="U31" s="10" t="inlineStr">
        <is>
          <t>Yanina</t>
        </is>
      </c>
      <c r="V31" s="10" t="n"/>
      <c r="W31" s="10" t="inlineStr">
        <is>
          <t>Visita Técnica Shimaya - Comas.docx</t>
        </is>
      </c>
      <c r="X31" s="10" t="inlineStr">
        <is>
          <t>Impresoras caja, ramen, salteados, frituras y makis por cable; 2 cables de cámaras en el mismo switch y cables de cámara sueltos. Clave WiFi: ver hoja kb_minuta_credencial.</t>
        </is>
      </c>
      <c r="Y31" s="12">
        <f>IF(A31="","",COUNTIF(kb_minuta_respuesta!$A$2:$A$2000,A31))</f>
        <v/>
      </c>
      <c r="Z31" s="12">
        <f>IF(A31="","",COUNTIFS(kb_minuta_recomendacion!$A$2:$A$2000,A31,kb_minuta_recomendacion!$C$2:$C$2000,"RECOMENDACION"))</f>
        <v/>
      </c>
      <c r="AA31" s="12">
        <f>IF(A31="","",COUNTIF(kb_minuta_recomendacion!$A$2:$A$2000,A31)-Z31)</f>
        <v/>
      </c>
    </row>
    <row r="32">
      <c r="A32" s="10" t="inlineStr">
        <is>
          <t>MH-031</t>
        </is>
      </c>
      <c r="B32" s="10" t="inlineStr">
        <is>
          <t>Shimaya Ramen</t>
        </is>
      </c>
      <c r="C32" s="10" t="inlineStr">
        <is>
          <t>Shimaya La Molina</t>
        </is>
      </c>
      <c r="D32" s="10" t="inlineStr">
        <is>
          <t>Av. Flora Tristán 471, La Molina 15024</t>
        </is>
      </c>
      <c r="E32" s="10" t="inlineStr">
        <is>
          <t>La Molina</t>
        </is>
      </c>
      <c r="F32" s="11" t="n">
        <v>45366</v>
      </c>
      <c r="G32" s="10" t="inlineStr">
        <is>
          <t>11:00</t>
        </is>
      </c>
      <c r="H32" s="10" t="inlineStr"/>
      <c r="I32" s="10" t="inlineStr"/>
      <c r="J32" s="10" t="inlineStr">
        <is>
          <t>REST_ORIENTAL</t>
        </is>
      </c>
      <c r="K32" s="10" t="n"/>
      <c r="L32" s="10" t="n">
        <v>1</v>
      </c>
      <c r="M32" s="10" t="inlineStr">
        <is>
          <t>CLARO</t>
        </is>
      </c>
      <c r="N32" s="10" t="inlineStr">
        <is>
          <t>COAXIAL</t>
        </is>
      </c>
      <c r="O32" s="10" t="n">
        <v>100</v>
      </c>
      <c r="P32" s="10" t="n"/>
      <c r="Q32" s="10" t="n"/>
      <c r="R32" s="10" t="inlineStr"/>
      <c r="S32" s="10" t="inlineStr">
        <is>
          <t>SIN_DATO</t>
        </is>
      </c>
      <c r="T32" s="10" t="inlineStr">
        <is>
          <t>Kevin</t>
        </is>
      </c>
      <c r="U32" s="10" t="inlineStr"/>
      <c r="V32" s="10" t="n"/>
      <c r="W32" s="10" t="inlineStr">
        <is>
          <t>Minuta visita Técnica Shimaya Ramen - La Molina.docx</t>
        </is>
      </c>
      <c r="X32" s="10" t="inlineStr">
        <is>
          <t>Claro HFC. Switch principal 10/100 con cámaras, PC de caja e impresora. 3 access points (barra makis, salón zona B, entrada). WiFi libre para clientes. Caja USB con la PC. Tablets de mozos. Clave WiFi: ver hoja kb_minuta_credencial.</t>
        </is>
      </c>
      <c r="Y32" s="12">
        <f>IF(A32="","",COUNTIF(kb_minuta_respuesta!$A$2:$A$2000,A32))</f>
        <v/>
      </c>
      <c r="Z32" s="12">
        <f>IF(A32="","",COUNTIFS(kb_minuta_recomendacion!$A$2:$A$2000,A32,kb_minuta_recomendacion!$C$2:$C$2000,"RECOMENDACION"))</f>
        <v/>
      </c>
      <c r="AA32" s="12">
        <f>IF(A32="","",COUNTIF(kb_minuta_recomendacion!$A$2:$A$2000,A32)-Z32)</f>
        <v/>
      </c>
    </row>
    <row r="33">
      <c r="A33" s="10" t="inlineStr">
        <is>
          <t>MH-032</t>
        </is>
      </c>
      <c r="B33" s="10" t="inlineStr">
        <is>
          <t>Shimaya Ramen</t>
        </is>
      </c>
      <c r="C33" s="10" t="inlineStr">
        <is>
          <t>Shimaya Kennedy (Miraflores)</t>
        </is>
      </c>
      <c r="D33" s="10" t="inlineStr">
        <is>
          <t>Av. Diagonal 344, Miraflores</t>
        </is>
      </c>
      <c r="E33" s="10" t="inlineStr">
        <is>
          <t>Miraflores</t>
        </is>
      </c>
      <c r="F33" s="11" t="n">
        <v>45364</v>
      </c>
      <c r="G33" s="10" t="inlineStr">
        <is>
          <t>16:00</t>
        </is>
      </c>
      <c r="H33" s="10" t="inlineStr"/>
      <c r="I33" s="10" t="inlineStr"/>
      <c r="J33" s="10" t="inlineStr">
        <is>
          <t>REST_ORIENTAL</t>
        </is>
      </c>
      <c r="K33" s="10" t="n"/>
      <c r="L33" s="10" t="n">
        <v>1</v>
      </c>
      <c r="M33" s="10" t="inlineStr">
        <is>
          <t>MOVISTAR</t>
        </is>
      </c>
      <c r="N33" s="10" t="inlineStr"/>
      <c r="O33" s="10" t="n">
        <v>100</v>
      </c>
      <c r="P33" s="10" t="n"/>
      <c r="Q33" s="10" t="n"/>
      <c r="R33" s="10" t="inlineStr"/>
      <c r="S33" s="10" t="inlineStr">
        <is>
          <t>SIN_DATO</t>
        </is>
      </c>
      <c r="T33" s="10" t="inlineStr">
        <is>
          <t>Kevin Flores</t>
        </is>
      </c>
      <c r="U33" s="10" t="inlineStr">
        <is>
          <t>Gabriela</t>
        </is>
      </c>
      <c r="V33" s="10" t="n"/>
      <c r="W33" s="10" t="inlineStr">
        <is>
          <t>Minuta Visita Técnica Shimaya Ramen-Miraflores.docx</t>
        </is>
      </c>
      <c r="X33" s="10" t="inlineStr">
        <is>
          <t>Switch 10/100 TP-Link con cámaras, PC de caja e impresoras. Caja USB. Frituras: punto de red por cambiar; Makis: RJ45 por cambiar. Tablets por WiFi.</t>
        </is>
      </c>
      <c r="Y33" s="12">
        <f>IF(A33="","",COUNTIF(kb_minuta_respuesta!$A$2:$A$2000,A33))</f>
        <v/>
      </c>
      <c r="Z33" s="12">
        <f>IF(A33="","",COUNTIFS(kb_minuta_recomendacion!$A$2:$A$2000,A33,kb_minuta_recomendacion!$C$2:$C$2000,"RECOMENDACION"))</f>
        <v/>
      </c>
      <c r="AA33" s="12">
        <f>IF(A33="","",COUNTIF(kb_minuta_recomendacion!$A$2:$A$2000,A33)-Z33)</f>
        <v/>
      </c>
    </row>
    <row r="34">
      <c r="A34" s="10" t="inlineStr">
        <is>
          <t>MH-033</t>
        </is>
      </c>
      <c r="B34" s="10" t="inlineStr">
        <is>
          <t>Modonese</t>
        </is>
      </c>
      <c r="C34" s="10" t="inlineStr">
        <is>
          <t>Modonese Arica</t>
        </is>
      </c>
      <c r="D34" s="10" t="inlineStr">
        <is>
          <t>Jr. Arica 880</t>
        </is>
      </c>
      <c r="E34" s="10" t="inlineStr"/>
      <c r="F34" s="11" t="n">
        <v>45605</v>
      </c>
      <c r="G34" s="10" t="inlineStr"/>
      <c r="H34" s="10" t="inlineStr">
        <is>
          <t>EN_OPERACION</t>
        </is>
      </c>
      <c r="I34" s="10" t="inlineStr">
        <is>
          <t>El local reportaba lentitud de red</t>
        </is>
      </c>
      <c r="J34" s="10" t="inlineStr">
        <is>
          <t>REST_PESCADOS</t>
        </is>
      </c>
      <c r="K34" s="10" t="n"/>
      <c r="L34" s="10" t="n">
        <v>1</v>
      </c>
      <c r="M34" s="10" t="inlineStr"/>
      <c r="N34" s="10" t="inlineStr">
        <is>
          <t>FIBRA</t>
        </is>
      </c>
      <c r="O34" s="10" t="n">
        <v>400</v>
      </c>
      <c r="P34" s="10" t="n"/>
      <c r="Q34" s="10" t="n"/>
      <c r="R34" s="10" t="inlineStr"/>
      <c r="S34" s="10" t="inlineStr">
        <is>
          <t>SIN_DATO</t>
        </is>
      </c>
      <c r="T34" s="10" t="inlineStr">
        <is>
          <t>Kevin</t>
        </is>
      </c>
      <c r="U34" s="10" t="inlineStr">
        <is>
          <t>Diego (caja)</t>
        </is>
      </c>
      <c r="V34" s="10" t="inlineStr">
        <is>
          <t>SI</t>
        </is>
      </c>
      <c r="W34" s="10" t="inlineStr">
        <is>
          <t>Minuta Visita Técnica Modonese Arica.docx</t>
        </is>
      </c>
      <c r="X34" s="10" t="inlineStr">
        <is>
          <t>Red estable en la visita. Tablet de caja por WiFi (−37 dBm, estable). Cable de cámaras junto a corriente y bajo un equipo con motor: ruido hasta el router. Se cambió el cable Cat5e por Cat6a hacia el Raspberry.</t>
        </is>
      </c>
      <c r="Y34" s="12">
        <f>IF(A34="","",COUNTIF(kb_minuta_respuesta!$A$2:$A$2000,A34))</f>
        <v/>
      </c>
      <c r="Z34" s="12">
        <f>IF(A34="","",COUNTIFS(kb_minuta_recomendacion!$A$2:$A$2000,A34,kb_minuta_recomendacion!$C$2:$C$2000,"RECOMENDACION"))</f>
        <v/>
      </c>
      <c r="AA34" s="12">
        <f>IF(A34="","",COUNTIF(kb_minuta_recomendacion!$A$2:$A$2000,A34)-Z34)</f>
        <v/>
      </c>
    </row>
    <row r="35">
      <c r="A35" s="10" t="inlineStr">
        <is>
          <t>MH-034</t>
        </is>
      </c>
      <c r="B35" s="10" t="inlineStr">
        <is>
          <t>Omakase</t>
        </is>
      </c>
      <c r="C35" s="10" t="inlineStr">
        <is>
          <t>Omakase</t>
        </is>
      </c>
      <c r="D35" s="10" t="inlineStr">
        <is>
          <t>Santiago de Compostela, La Molina 15026</t>
        </is>
      </c>
      <c r="E35" s="10" t="inlineStr">
        <is>
          <t>La Molina</t>
        </is>
      </c>
      <c r="F35" s="11" t="n">
        <v>45243</v>
      </c>
      <c r="G35" s="10" t="inlineStr">
        <is>
          <t>15:00</t>
        </is>
      </c>
      <c r="H35" s="10" t="inlineStr"/>
      <c r="I35" s="10" t="inlineStr"/>
      <c r="J35" s="10" t="inlineStr">
        <is>
          <t>REST_ORIENTAL</t>
        </is>
      </c>
      <c r="K35" s="10" t="n"/>
      <c r="L35" s="10" t="n">
        <v>1</v>
      </c>
      <c r="M35" s="10" t="inlineStr"/>
      <c r="N35" s="10" t="inlineStr"/>
      <c r="O35" s="10" t="n"/>
      <c r="P35" s="10" t="n"/>
      <c r="Q35" s="10" t="n"/>
      <c r="R35" s="10" t="inlineStr"/>
      <c r="S35" s="10" t="inlineStr">
        <is>
          <t>SIN_DATO</t>
        </is>
      </c>
      <c r="T35" s="10" t="inlineStr">
        <is>
          <t>Sandra</t>
        </is>
      </c>
      <c r="U35" s="10" t="inlineStr">
        <is>
          <t>Keyri, Álvaro</t>
        </is>
      </c>
      <c r="V35" s="10" t="n"/>
      <c r="W35" s="10" t="inlineStr">
        <is>
          <t>Minuta Visita Técnica OMAKASE.docx</t>
        </is>
      </c>
      <c r="X35" s="10" t="inlineStr">
        <is>
          <t>Sin acceso al cuarto de telecomunicaciones: solo test por WiFi. Trabajan desde un celular por WiFi; posible laptop temporal. La barra principal no tiene punto de red. El cliente no desea el Raspberry.</t>
        </is>
      </c>
      <c r="Y35" s="12">
        <f>IF(A35="","",COUNTIF(kb_minuta_respuesta!$A$2:$A$2000,A35))</f>
        <v/>
      </c>
      <c r="Z35" s="12">
        <f>IF(A35="","",COUNTIFS(kb_minuta_recomendacion!$A$2:$A$2000,A35,kb_minuta_recomendacion!$C$2:$C$2000,"RECOMENDACION"))</f>
        <v/>
      </c>
      <c r="AA35" s="12">
        <f>IF(A35="","",COUNTIF(kb_minuta_recomendacion!$A$2:$A$2000,A35)-Z35)</f>
        <v/>
      </c>
    </row>
    <row r="36">
      <c r="A36" s="10" t="inlineStr">
        <is>
          <t>MH-035</t>
        </is>
      </c>
      <c r="B36" s="10" t="inlineStr">
        <is>
          <t>Shimaya Ramen</t>
        </is>
      </c>
      <c r="C36" s="10" t="inlineStr">
        <is>
          <t>Shimaya Chorrillos</t>
        </is>
      </c>
      <c r="D36" s="10" t="inlineStr">
        <is>
          <t>Av. Defensores del Morro 448, Chorrillos</t>
        </is>
      </c>
      <c r="E36" s="10" t="inlineStr">
        <is>
          <t>Chorrillos</t>
        </is>
      </c>
      <c r="F36" s="11" t="n">
        <v>45363</v>
      </c>
      <c r="G36" s="10" t="inlineStr">
        <is>
          <t>11:00</t>
        </is>
      </c>
      <c r="H36" s="10" t="inlineStr"/>
      <c r="I36" s="10" t="inlineStr"/>
      <c r="J36" s="10" t="inlineStr">
        <is>
          <t>REST_ORIENTAL</t>
        </is>
      </c>
      <c r="K36" s="10" t="n"/>
      <c r="L36" s="10" t="n">
        <v>1</v>
      </c>
      <c r="M36" s="10" t="inlineStr">
        <is>
          <t>MOVISTAR</t>
        </is>
      </c>
      <c r="N36" s="10" t="inlineStr">
        <is>
          <t>COAXIAL</t>
        </is>
      </c>
      <c r="O36" s="10" t="n">
        <v>250</v>
      </c>
      <c r="P36" s="10" t="n"/>
      <c r="Q36" s="10" t="n"/>
      <c r="R36" s="10" t="inlineStr"/>
      <c r="S36" s="10" t="inlineStr">
        <is>
          <t>SIN_DATO</t>
        </is>
      </c>
      <c r="T36" s="10" t="inlineStr">
        <is>
          <t>Kevin</t>
        </is>
      </c>
      <c r="U36" s="10" t="inlineStr">
        <is>
          <t>Shinjuu</t>
        </is>
      </c>
      <c r="V36" s="10" t="n"/>
      <c r="W36" s="10" t="inlineStr">
        <is>
          <t>Minuta de Visita tecnica Shimaya chorrillos .docx</t>
        </is>
      </c>
      <c r="X36" s="10" t="inlineStr">
        <is>
          <t>Movistar HFC. Switch TP-Link 10/100. Puntos de red: PC de caja e impresoras caja, makis, frituras, ramen, salteados y pre-cuentas. Tablets. Clave WiFi: ver hoja kb_minuta_credencial.</t>
        </is>
      </c>
      <c r="Y36" s="12">
        <f>IF(A36="","",COUNTIF(kb_minuta_respuesta!$A$2:$A$2000,A36))</f>
        <v/>
      </c>
      <c r="Z36" s="12">
        <f>IF(A36="","",COUNTIFS(kb_minuta_recomendacion!$A$2:$A$2000,A36,kb_minuta_recomendacion!$C$2:$C$2000,"RECOMENDACION"))</f>
        <v/>
      </c>
      <c r="AA36" s="12">
        <f>IF(A36="","",COUNTIF(kb_minuta_recomendacion!$A$2:$A$2000,A36)-Z36)</f>
        <v/>
      </c>
    </row>
    <row r="37">
      <c r="A37" s="10" t="inlineStr">
        <is>
          <t>MH-036</t>
        </is>
      </c>
      <c r="B37" s="10" t="inlineStr">
        <is>
          <t>Shimaya Ramen</t>
        </is>
      </c>
      <c r="C37" s="10" t="inlineStr">
        <is>
          <t>Shimaya Los Olivos</t>
        </is>
      </c>
      <c r="D37" s="10" t="inlineStr">
        <is>
          <t>Av. Carlos Izaguirre 789</t>
        </is>
      </c>
      <c r="E37" s="10" t="inlineStr">
        <is>
          <t>Los Olivos</t>
        </is>
      </c>
      <c r="F37" s="11" t="n">
        <v>45360</v>
      </c>
      <c r="G37" s="10" t="inlineStr">
        <is>
          <t>16:00</t>
        </is>
      </c>
      <c r="H37" s="10" t="inlineStr"/>
      <c r="I37" s="10" t="inlineStr"/>
      <c r="J37" s="10" t="inlineStr">
        <is>
          <t>REST_ORIENTAL</t>
        </is>
      </c>
      <c r="K37" s="10" t="n"/>
      <c r="L37" s="10" t="n">
        <v>1</v>
      </c>
      <c r="M37" s="10" t="inlineStr">
        <is>
          <t>WIN</t>
        </is>
      </c>
      <c r="N37" s="10" t="inlineStr">
        <is>
          <t>FIBRA</t>
        </is>
      </c>
      <c r="O37" s="10" t="n">
        <v>400</v>
      </c>
      <c r="P37" s="10" t="n"/>
      <c r="Q37" s="10" t="n"/>
      <c r="R37" s="10" t="inlineStr">
        <is>
          <t>192.168.18.x</t>
        </is>
      </c>
      <c r="S37" s="10" t="inlineStr">
        <is>
          <t>SIN_DATO</t>
        </is>
      </c>
      <c r="T37" s="10" t="inlineStr">
        <is>
          <t>Kevin</t>
        </is>
      </c>
      <c r="U37" s="10" t="inlineStr">
        <is>
          <t>Yrama</t>
        </is>
      </c>
      <c r="V37" s="10" t="n"/>
      <c r="W37" s="10" t="inlineStr">
        <is>
          <t>Minuta visita Técnica Shimaya Los Olivos.docx</t>
        </is>
      </c>
      <c r="X37" s="10" t="inlineStr">
        <is>
          <t>La impresora de caja (de red) pierde conexión por cable mal ponchado (norma A, cruzado). RJ45 de makis por cambiar. Switch de 8 puertos 10/100.</t>
        </is>
      </c>
      <c r="Y37" s="12">
        <f>IF(A37="","",COUNTIF(kb_minuta_respuesta!$A$2:$A$2000,A37))</f>
        <v/>
      </c>
      <c r="Z37" s="12">
        <f>IF(A37="","",COUNTIFS(kb_minuta_recomendacion!$A$2:$A$2000,A37,kb_minuta_recomendacion!$C$2:$C$2000,"RECOMENDACION"))</f>
        <v/>
      </c>
      <c r="AA37" s="12">
        <f>IF(A37="","",COUNTIF(kb_minuta_recomendacion!$A$2:$A$2000,A37)-Z37)</f>
        <v/>
      </c>
    </row>
    <row r="38">
      <c r="A38" s="10" t="inlineStr">
        <is>
          <t>MH-037</t>
        </is>
      </c>
      <c r="B38" s="10" t="inlineStr">
        <is>
          <t>Shimaya Ramen</t>
        </is>
      </c>
      <c r="C38" s="10" t="inlineStr">
        <is>
          <t>Shimaya SJL</t>
        </is>
      </c>
      <c r="D38" s="10" t="inlineStr">
        <is>
          <t>Av. Lurigancho 997-999, tienda B-3006, Urb. Zárate Industrial</t>
        </is>
      </c>
      <c r="E38" s="10" t="inlineStr">
        <is>
          <t>San Juan de Lurigancho</t>
        </is>
      </c>
      <c r="F38" s="11" t="n">
        <v>45367</v>
      </c>
      <c r="G38" s="10" t="inlineStr">
        <is>
          <t>11:00</t>
        </is>
      </c>
      <c r="H38" s="10" t="inlineStr"/>
      <c r="I38" s="10" t="inlineStr"/>
      <c r="J38" s="10" t="inlineStr">
        <is>
          <t>REST_ORIENTAL</t>
        </is>
      </c>
      <c r="K38" s="10" t="n"/>
      <c r="L38" s="10" t="n">
        <v>1</v>
      </c>
      <c r="M38" s="10" t="inlineStr">
        <is>
          <t>WIN</t>
        </is>
      </c>
      <c r="N38" s="10" t="inlineStr"/>
      <c r="O38" s="10" t="n">
        <v>400</v>
      </c>
      <c r="P38" s="10" t="n"/>
      <c r="Q38" s="10" t="n"/>
      <c r="R38" s="10" t="inlineStr"/>
      <c r="S38" s="10" t="inlineStr">
        <is>
          <t>SIN_DATO</t>
        </is>
      </c>
      <c r="T38" s="10" t="inlineStr">
        <is>
          <t>Kevin</t>
        </is>
      </c>
      <c r="U38" s="10" t="inlineStr">
        <is>
          <t>Alvani</t>
        </is>
      </c>
      <c r="V38" s="10" t="n"/>
      <c r="W38" s="10" t="inlineStr">
        <is>
          <t>Minuta visita Técnica Shimaya Ramen - SJL.docx</t>
        </is>
      </c>
      <c r="X38" s="10" t="inlineStr">
        <is>
          <t>Switch con PC de caja, cámaras e impresoras. Caja USB con la PC. 5 tablets de mozos.</t>
        </is>
      </c>
      <c r="Y38" s="12">
        <f>IF(A38="","",COUNTIF(kb_minuta_respuesta!$A$2:$A$2000,A38))</f>
        <v/>
      </c>
      <c r="Z38" s="12">
        <f>IF(A38="","",COUNTIFS(kb_minuta_recomendacion!$A$2:$A$2000,A38,kb_minuta_recomendacion!$C$2:$C$2000,"RECOMENDACION"))</f>
        <v/>
      </c>
      <c r="AA38" s="12">
        <f>IF(A38="","",COUNTIF(kb_minuta_recomendacion!$A$2:$A$2000,A38)-Z38)</f>
        <v/>
      </c>
    </row>
    <row r="39">
      <c r="A39" s="10" t="inlineStr">
        <is>
          <t>MH-038</t>
        </is>
      </c>
      <c r="B39" s="10" t="inlineStr">
        <is>
          <t>Shimaya Ramen</t>
        </is>
      </c>
      <c r="C39" s="10" t="inlineStr">
        <is>
          <t>Shimaya San Borja</t>
        </is>
      </c>
      <c r="D39" s="10" t="inlineStr">
        <is>
          <t>Av. Aviación 3341, San Borja</t>
        </is>
      </c>
      <c r="E39" s="10" t="inlineStr">
        <is>
          <t>San Borja</t>
        </is>
      </c>
      <c r="F39" s="11" t="n">
        <v>45365</v>
      </c>
      <c r="G39" s="10" t="inlineStr">
        <is>
          <t>11:00</t>
        </is>
      </c>
      <c r="H39" s="10" t="inlineStr"/>
      <c r="I39" s="10" t="inlineStr"/>
      <c r="J39" s="10" t="inlineStr">
        <is>
          <t>REST_ORIENTAL</t>
        </is>
      </c>
      <c r="K39" s="10" t="n"/>
      <c r="L39" s="10" t="n">
        <v>1</v>
      </c>
      <c r="M39" s="10" t="inlineStr">
        <is>
          <t>MOVISTAR</t>
        </is>
      </c>
      <c r="N39" s="10" t="inlineStr">
        <is>
          <t>FIBRA</t>
        </is>
      </c>
      <c r="O39" s="10" t="n"/>
      <c r="P39" s="10" t="n">
        <v>350</v>
      </c>
      <c r="Q39" s="10" t="n"/>
      <c r="R39" s="10" t="inlineStr"/>
      <c r="S39" s="10" t="inlineStr">
        <is>
          <t>SIN_DATO</t>
        </is>
      </c>
      <c r="T39" s="10" t="inlineStr">
        <is>
          <t>Kevin</t>
        </is>
      </c>
      <c r="U39" s="10" t="inlineStr">
        <is>
          <t>Daya</t>
        </is>
      </c>
      <c r="V39" s="10" t="n"/>
      <c r="W39" s="10" t="inlineStr">
        <is>
          <t>Minuta Visita Técnica Shimaya Ramen-San Borja.docx</t>
        </is>
      </c>
      <c r="X39" s="10" t="inlineStr">
        <is>
          <t>Velocidad medida en la laptop de ID. Switch 10/100 TP-Link con cámaras, PC de caja e impresoras. Caja USB. RJ45 de frituras por cambiar. 5 tablets Lenovo.</t>
        </is>
      </c>
      <c r="Y39" s="12">
        <f>IF(A39="","",COUNTIF(kb_minuta_respuesta!$A$2:$A$2000,A39))</f>
        <v/>
      </c>
      <c r="Z39" s="12">
        <f>IF(A39="","",COUNTIFS(kb_minuta_recomendacion!$A$2:$A$2000,A39,kb_minuta_recomendacion!$C$2:$C$2000,"RECOMENDACION"))</f>
        <v/>
      </c>
      <c r="AA39" s="12">
        <f>IF(A39="","",COUNTIF(kb_minuta_recomendacion!$A$2:$A$2000,A39)-Z39)</f>
        <v/>
      </c>
    </row>
    <row r="40">
      <c r="A40" s="10" t="inlineStr">
        <is>
          <t>MH-039</t>
        </is>
      </c>
      <c r="B40" s="10" t="inlineStr">
        <is>
          <t>Caleta</t>
        </is>
      </c>
      <c r="C40" s="10" t="inlineStr">
        <is>
          <t>Caleta de la Punta – Callao</t>
        </is>
      </c>
      <c r="D40" s="10" t="inlineStr">
        <is>
          <t>Malecón Pardo 180, La Punta 07021</t>
        </is>
      </c>
      <c r="E40" s="10" t="inlineStr">
        <is>
          <t>La Punta</t>
        </is>
      </c>
      <c r="F40" s="11" t="n">
        <v>45783</v>
      </c>
      <c r="G40" s="10" t="inlineStr">
        <is>
          <t>09:00</t>
        </is>
      </c>
      <c r="H40" s="10" t="inlineStr"/>
      <c r="I40" s="10" t="inlineStr"/>
      <c r="J40" s="10" t="inlineStr">
        <is>
          <t>REST_PESCADOS</t>
        </is>
      </c>
      <c r="K40" s="10" t="n"/>
      <c r="L40" s="10" t="n">
        <v>2</v>
      </c>
      <c r="M40" s="10" t="inlineStr">
        <is>
          <t>WIN</t>
        </is>
      </c>
      <c r="N40" s="10" t="inlineStr"/>
      <c r="O40" s="10" t="n">
        <v>100</v>
      </c>
      <c r="P40" s="10" t="n"/>
      <c r="Q40" s="10" t="n"/>
      <c r="R40" s="10" t="inlineStr"/>
      <c r="S40" s="10" t="inlineStr">
        <is>
          <t>SIN_DATO</t>
        </is>
      </c>
      <c r="T40" s="10" t="inlineStr">
        <is>
          <t>Kevin</t>
        </is>
      </c>
      <c r="U40" s="10" t="inlineStr">
        <is>
          <t>Briggitte, Andrea</t>
        </is>
      </c>
      <c r="V40" s="10" t="n"/>
      <c r="W40" s="10" t="inlineStr">
        <is>
          <t>Minuta de Visita técnica - Caleta Callao.docx</t>
        </is>
      </c>
      <c r="X40" s="10" t="inlineStr">
        <is>
          <t>Dos lugares de preparación (Caleta 01 y 02), cada uno con su PC e impresora 3nStar RPT006B. 2 tablets Samsung. Claves WiFi: ver hoja kb_minuta_credencial.</t>
        </is>
      </c>
      <c r="Y40" s="12">
        <f>IF(A40="","",COUNTIF(kb_minuta_respuesta!$A$2:$A$2000,A40))</f>
        <v/>
      </c>
      <c r="Z40" s="12">
        <f>IF(A40="","",COUNTIFS(kb_minuta_recomendacion!$A$2:$A$2000,A40,kb_minuta_recomendacion!$C$2:$C$2000,"RECOMENDACION"))</f>
        <v/>
      </c>
      <c r="AA40" s="12">
        <f>IF(A40="","",COUNTIF(kb_minuta_recomendacion!$A$2:$A$2000,A40)-Z40)</f>
        <v/>
      </c>
    </row>
    <row r="41">
      <c r="A41" s="10" t="inlineStr">
        <is>
          <t>MH-040</t>
        </is>
      </c>
      <c r="B41" s="10" t="inlineStr">
        <is>
          <t>Don Chalán</t>
        </is>
      </c>
      <c r="C41" s="10" t="inlineStr">
        <is>
          <t>Don Chalán Unicachi – PRO</t>
        </is>
      </c>
      <c r="D41" s="10" t="inlineStr">
        <is>
          <t>Unicachi PRO</t>
        </is>
      </c>
      <c r="E41" s="10" t="inlineStr"/>
      <c r="F41" s="11" t="n">
        <v>45358</v>
      </c>
      <c r="G41" s="10" t="inlineStr">
        <is>
          <t>14:00</t>
        </is>
      </c>
      <c r="H41" s="10" t="inlineStr"/>
      <c r="I41" s="10" t="inlineStr"/>
      <c r="J41" s="10" t="inlineStr">
        <is>
          <t>REST_PESCADOS</t>
        </is>
      </c>
      <c r="K41" s="10" t="n"/>
      <c r="L41" s="10" t="n">
        <v>1</v>
      </c>
      <c r="M41" s="10" t="inlineStr">
        <is>
          <t>WIN</t>
        </is>
      </c>
      <c r="N41" s="10" t="inlineStr">
        <is>
          <t>FIBRA</t>
        </is>
      </c>
      <c r="O41" s="10" t="n"/>
      <c r="P41" s="10" t="n"/>
      <c r="Q41" s="10" t="n"/>
      <c r="R41" s="10" t="inlineStr"/>
      <c r="S41" s="10" t="inlineStr">
        <is>
          <t>SIN_DATO</t>
        </is>
      </c>
      <c r="T41" s="10" t="inlineStr">
        <is>
          <t>Nelson Luque</t>
        </is>
      </c>
      <c r="U41" s="10" t="inlineStr">
        <is>
          <t>Don Chalán</t>
        </is>
      </c>
      <c r="V41" s="10" t="n"/>
      <c r="W41" s="10" t="inlineStr">
        <is>
          <t>Formato_de_Minuta_Visita_Técnica_DON_CHALAN.docx</t>
        </is>
      </c>
      <c r="X41" s="10" t="inlineStr">
        <is>
          <t>Barra junto a la caja (impresora Bar-Caja). La impresora de cocina está deshabilitada por falta de cableado. Repetidor de red. Clave WiFi: ver hoja kb_minuta_credencial.</t>
        </is>
      </c>
      <c r="Y41" s="12">
        <f>IF(A41="","",COUNTIF(kb_minuta_respuesta!$A$2:$A$2000,A41))</f>
        <v/>
      </c>
      <c r="Z41" s="12">
        <f>IF(A41="","",COUNTIFS(kb_minuta_recomendacion!$A$2:$A$2000,A41,kb_minuta_recomendacion!$C$2:$C$2000,"RECOMENDACION"))</f>
        <v/>
      </c>
      <c r="AA41" s="12">
        <f>IF(A41="","",COUNTIF(kb_minuta_recomendacion!$A$2:$A$2000,A41)-Z41)</f>
        <v/>
      </c>
    </row>
    <row r="42">
      <c r="A42" s="10" t="inlineStr">
        <is>
          <t>MH-041</t>
        </is>
      </c>
      <c r="B42" s="10" t="inlineStr">
        <is>
          <t>Soma</t>
        </is>
      </c>
      <c r="C42" s="10" t="inlineStr">
        <is>
          <t>Soma (El Refugio)</t>
        </is>
      </c>
      <c r="D42" s="10" t="inlineStr">
        <is>
          <t>Av. Manuel Olguín 100, Santiago de Surco 15023</t>
        </is>
      </c>
      <c r="E42" s="10" t="inlineStr">
        <is>
          <t>Santiago de Surco</t>
        </is>
      </c>
      <c r="F42" s="11" t="n">
        <v>45912</v>
      </c>
      <c r="G42" s="10" t="inlineStr">
        <is>
          <t>14:40</t>
        </is>
      </c>
      <c r="H42" s="10" t="inlineStr"/>
      <c r="I42" s="10" t="inlineStr"/>
      <c r="J42" s="10" t="inlineStr">
        <is>
          <t>DISCOTECA_BAR</t>
        </is>
      </c>
      <c r="K42" s="10" t="n"/>
      <c r="L42" s="10" t="n"/>
      <c r="M42" s="10" t="inlineStr"/>
      <c r="N42" s="10" t="inlineStr">
        <is>
          <t>NO_TIENE</t>
        </is>
      </c>
      <c r="O42" s="10" t="n"/>
      <c r="P42" s="10" t="n"/>
      <c r="Q42" s="10" t="n"/>
      <c r="R42" s="10" t="inlineStr"/>
      <c r="S42" s="10" t="inlineStr">
        <is>
          <t>SIN_DATO</t>
        </is>
      </c>
      <c r="T42" s="10" t="inlineStr">
        <is>
          <t>Leonardo Espejo</t>
        </is>
      </c>
      <c r="U42" s="10" t="inlineStr"/>
      <c r="V42" s="10" t="n"/>
      <c r="W42" s="10" t="inlineStr">
        <is>
          <t>Minuta de visita técnica - Soma (El refugio).docx</t>
        </is>
      </c>
      <c r="X42" s="10" t="inlineStr">
        <is>
          <t>Sin internet, router, switch ni cableado. Patio principal de ~18 m, con tomas a ~7 m y ~3,5 m. Si está en patio de comidas (El Refugio) está por confirmar.</t>
        </is>
      </c>
      <c r="Y42" s="12">
        <f>IF(A42="","",COUNTIF(kb_minuta_respuesta!$A$2:$A$2000,A42))</f>
        <v/>
      </c>
      <c r="Z42" s="12">
        <f>IF(A42="","",COUNTIFS(kb_minuta_recomendacion!$A$2:$A$2000,A42,kb_minuta_recomendacion!$C$2:$C$2000,"RECOMENDACION"))</f>
        <v/>
      </c>
      <c r="AA42" s="12">
        <f>IF(A42="","",COUNTIF(kb_minuta_recomendacion!$A$2:$A$2000,A42)-Z42)</f>
        <v/>
      </c>
    </row>
    <row r="43">
      <c r="A43" s="10" t="inlineStr">
        <is>
          <t>MH-042</t>
        </is>
      </c>
      <c r="B43" s="10" t="inlineStr">
        <is>
          <t>Belgofre</t>
        </is>
      </c>
      <c r="C43" s="10" t="inlineStr">
        <is>
          <t>Belgofre Javier Prado</t>
        </is>
      </c>
      <c r="D43" s="10" t="inlineStr"/>
      <c r="E43" s="10" t="inlineStr"/>
      <c r="F43" s="11" t="n">
        <v>45748</v>
      </c>
      <c r="G43" s="10" t="inlineStr"/>
      <c r="H43" s="10" t="inlineStr">
        <is>
          <t>EN_OPERACION</t>
        </is>
      </c>
      <c r="I43" s="10" t="inlineStr">
        <is>
          <t>Envío y conexión del Raspberry al local</t>
        </is>
      </c>
      <c r="J43" s="10" t="inlineStr">
        <is>
          <t>FAST_FOOD</t>
        </is>
      </c>
      <c r="K43" s="10" t="n"/>
      <c r="L43" s="10" t="n">
        <v>1</v>
      </c>
      <c r="M43" s="10" t="inlineStr"/>
      <c r="N43" s="10" t="inlineStr"/>
      <c r="O43" s="10" t="n"/>
      <c r="P43" s="10" t="n"/>
      <c r="Q43" s="10" t="n"/>
      <c r="R43" s="10" t="inlineStr"/>
      <c r="S43" s="10" t="inlineStr">
        <is>
          <t>SIN_DATO</t>
        </is>
      </c>
      <c r="T43" s="10" t="inlineStr">
        <is>
          <t>Marco</t>
        </is>
      </c>
      <c r="U43" s="10" t="inlineStr">
        <is>
          <t>Belgofre</t>
        </is>
      </c>
      <c r="V43" s="10" t="n"/>
      <c r="W43" s="10" t="inlineStr">
        <is>
          <t>Minuta Visita Técnica Belgofre 01-04.docx</t>
        </is>
      </c>
      <c r="X43" s="10" t="inlineStr">
        <is>
          <t>El 4.º puerto del router no daba conexión: la impresora pasó al 3.er puerto. El gancho del RJ45 de la impresora estaba roto.</t>
        </is>
      </c>
      <c r="Y43" s="12">
        <f>IF(A43="","",COUNTIF(kb_minuta_respuesta!$A$2:$A$2000,A43))</f>
        <v/>
      </c>
      <c r="Z43" s="12">
        <f>IF(A43="","",COUNTIFS(kb_minuta_recomendacion!$A$2:$A$2000,A43,kb_minuta_recomendacion!$C$2:$C$2000,"RECOMENDACION"))</f>
        <v/>
      </c>
      <c r="AA43" s="12">
        <f>IF(A43="","",COUNTIF(kb_minuta_recomendacion!$A$2:$A$2000,A43)-Z43)</f>
        <v/>
      </c>
    </row>
    <row r="44">
      <c r="A44" s="10" t="inlineStr">
        <is>
          <t>MH-043</t>
        </is>
      </c>
      <c r="B44" s="10" t="inlineStr">
        <is>
          <t>Flora y Fauna</t>
        </is>
      </c>
      <c r="C44" s="10" t="inlineStr">
        <is>
          <t>Flora y Fauna San Miguel</t>
        </is>
      </c>
      <c r="D44" s="10" t="inlineStr">
        <is>
          <t>San Miguel</t>
        </is>
      </c>
      <c r="E44" s="10" t="inlineStr">
        <is>
          <t>San Miguel</t>
        </is>
      </c>
      <c r="F44" s="11" t="n">
        <v>46198</v>
      </c>
      <c r="G44" s="10" t="inlineStr">
        <is>
          <t>15:00</t>
        </is>
      </c>
      <c r="H44" s="10" t="inlineStr">
        <is>
          <t>SISTEMA_ANTERIOR</t>
        </is>
      </c>
      <c r="I44" s="10" t="inlineStr"/>
      <c r="J44" s="10" t="inlineStr">
        <is>
          <t>RETAIL</t>
        </is>
      </c>
      <c r="K44" s="10" t="n"/>
      <c r="L44" s="10" t="n">
        <v>2</v>
      </c>
      <c r="M44" s="10" t="inlineStr"/>
      <c r="N44" s="10" t="inlineStr"/>
      <c r="O44" s="10" t="n"/>
      <c r="P44" s="10" t="n">
        <v>52.51</v>
      </c>
      <c r="Q44" s="10" t="n">
        <v>57.55</v>
      </c>
      <c r="R44" s="10" t="inlineStr">
        <is>
          <t>192.168.10.x</t>
        </is>
      </c>
      <c r="S44" s="10" t="inlineStr">
        <is>
          <t>SIN_DATO</t>
        </is>
      </c>
      <c r="T44" s="10" t="inlineStr"/>
      <c r="U44" s="10" t="inlineStr">
        <is>
          <t>Pedro Ly</t>
        </is>
      </c>
      <c r="V44" s="10" t="n"/>
      <c r="W44" s="10" t="inlineStr">
        <is>
          <t>Flora y Fauna Miraflores Sede San Miguel - Minuta de visita técnica.pdf</t>
        </is>
      </c>
      <c r="X44" s="10" t="inlineStr">
        <is>
          <t>Retail de alimentos saludables. Cajas por Ethernet (Caja 02: 56.11/57.01 Mbps). La impresora de Caja 02 está en 192.168.1.87 (otro segmento, DHCP desactivado); la de Caja 01 tiene DHCP activado. Periféricos: balanza/escáner Magellan, escáner de mano, gaveta, impresora de etiquetas TSC, Niubiz. La balanza de Caja 02 falla. No se identificó impedimento de inicio.</t>
        </is>
      </c>
      <c r="Y44" s="12">
        <f>IF(A44="","",COUNTIF(kb_minuta_respuesta!$A$2:$A$2000,A44))</f>
        <v/>
      </c>
      <c r="Z44" s="12">
        <f>IF(A44="","",COUNTIFS(kb_minuta_recomendacion!$A$2:$A$2000,A44,kb_minuta_recomendacion!$C$2:$C$2000,"RECOMENDACION"))</f>
        <v/>
      </c>
      <c r="AA44" s="12">
        <f>IF(A44="","",COUNTIF(kb_minuta_recomendacion!$A$2:$A$2000,A44)-Z44)</f>
        <v/>
      </c>
    </row>
    <row r="45">
      <c r="A45" s="10" t="inlineStr">
        <is>
          <t>MH-044</t>
        </is>
      </c>
      <c r="B45" s="10" t="inlineStr">
        <is>
          <t>Verbena</t>
        </is>
      </c>
      <c r="C45" s="10" t="inlineStr">
        <is>
          <t>Verbena</t>
        </is>
      </c>
      <c r="D45" s="10" t="inlineStr">
        <is>
          <t>Av. Conquistadores 396</t>
        </is>
      </c>
      <c r="E45" s="10" t="inlineStr">
        <is>
          <t>San Isidro</t>
        </is>
      </c>
      <c r="F45" s="11" t="n">
        <v>45801</v>
      </c>
      <c r="G45" s="10" t="inlineStr">
        <is>
          <t>16:00</t>
        </is>
      </c>
      <c r="H45" s="10" t="inlineStr"/>
      <c r="I45" s="10" t="inlineStr"/>
      <c r="J45" s="10" t="inlineStr">
        <is>
          <t>RESTAURANTE</t>
        </is>
      </c>
      <c r="K45" s="10" t="n"/>
      <c r="L45" s="10" t="n">
        <v>1</v>
      </c>
      <c r="M45" s="10" t="inlineStr">
        <is>
          <t>CLARO</t>
        </is>
      </c>
      <c r="N45" s="10" t="inlineStr"/>
      <c r="O45" s="10" t="n"/>
      <c r="P45" s="10" t="n"/>
      <c r="Q45" s="10" t="n"/>
      <c r="R45" s="10" t="inlineStr"/>
      <c r="S45" s="10" t="inlineStr">
        <is>
          <t>SIN_DATO</t>
        </is>
      </c>
      <c r="T45" s="10" t="inlineStr">
        <is>
          <t>Yomira Mora</t>
        </is>
      </c>
      <c r="U45" s="10" t="inlineStr">
        <is>
          <t>Marian Jiménez</t>
        </is>
      </c>
      <c r="V45" s="10" t="n"/>
      <c r="W45" s="10" t="inlineStr">
        <is>
          <t>Minuta Visita Técnica Verbena.pdf</t>
        </is>
      </c>
      <c r="X45" s="10" t="inlineStr">
        <is>
          <t>Zonas: terraza (6 mesas), privado (2), alfombra (3), individuales (2), mesa barra y mesa amor. Impresoras de red de bar y cocina juntas; tablet para pedidos. Pago con Culqi. Clave WiFi: ver hoja kb_minuta_credencial.</t>
        </is>
      </c>
      <c r="Y45" s="12">
        <f>IF(A45="","",COUNTIF(kb_minuta_respuesta!$A$2:$A$2000,A45))</f>
        <v/>
      </c>
      <c r="Z45" s="12">
        <f>IF(A45="","",COUNTIFS(kb_minuta_recomendacion!$A$2:$A$2000,A45,kb_minuta_recomendacion!$C$2:$C$2000,"RECOMENDACION"))</f>
        <v/>
      </c>
      <c r="AA45" s="12">
        <f>IF(A45="","",COUNTIF(kb_minuta_recomendacion!$A$2:$A$2000,A45)-Z45)</f>
        <v/>
      </c>
    </row>
    <row r="46">
      <c r="A46" s="13" t="n"/>
      <c r="B46" s="13" t="n"/>
      <c r="C46" s="13" t="n"/>
      <c r="D46" s="13" t="n"/>
      <c r="E46" s="13" t="n"/>
      <c r="F46" s="14" t="n"/>
      <c r="G46" s="13" t="n"/>
      <c r="H46" s="13" t="n"/>
      <c r="I46" s="13" t="n"/>
      <c r="J46" s="13" t="n"/>
      <c r="K46" s="13" t="n"/>
      <c r="L46" s="13" t="n"/>
      <c r="M46" s="13" t="n"/>
      <c r="N46" s="13" t="n"/>
      <c r="O46" s="13" t="n"/>
      <c r="P46" s="13" t="n"/>
      <c r="Q46" s="13" t="n"/>
      <c r="R46" s="13" t="n"/>
      <c r="S46" s="13" t="n"/>
      <c r="T46" s="13" t="n"/>
      <c r="U46" s="13" t="n"/>
      <c r="V46" s="13" t="n"/>
      <c r="W46" s="13" t="n"/>
      <c r="X46" s="13" t="n"/>
      <c r="Y46" s="12">
        <f>IF(A46="","",COUNTIF(kb_minuta_respuesta!$A$2:$A$2000,A46))</f>
        <v/>
      </c>
      <c r="Z46" s="12">
        <f>IF(A46="","",COUNTIFS(kb_minuta_recomendacion!$A$2:$A$2000,A46,kb_minuta_recomendacion!$C$2:$C$2000,"RECOMENDACION"))</f>
        <v/>
      </c>
      <c r="AA46" s="12">
        <f>IF(A46="","",COUNTIF(kb_minuta_recomendacion!$A$2:$A$2000,A46)-Z46)</f>
        <v/>
      </c>
    </row>
    <row r="47">
      <c r="A47" s="13" t="n"/>
      <c r="B47" s="13" t="n"/>
      <c r="C47" s="13" t="n"/>
      <c r="D47" s="13" t="n"/>
      <c r="E47" s="13" t="n"/>
      <c r="F47" s="14" t="n"/>
      <c r="G47" s="13" t="n"/>
      <c r="H47" s="13" t="n"/>
      <c r="I47" s="13" t="n"/>
      <c r="J47" s="13" t="n"/>
      <c r="K47" s="13" t="n"/>
      <c r="L47" s="13" t="n"/>
      <c r="M47" s="13" t="n"/>
      <c r="N47" s="13" t="n"/>
      <c r="O47" s="13" t="n"/>
      <c r="P47" s="13" t="n"/>
      <c r="Q47" s="13" t="n"/>
      <c r="R47" s="13" t="n"/>
      <c r="S47" s="13" t="n"/>
      <c r="T47" s="13" t="n"/>
      <c r="U47" s="13" t="n"/>
      <c r="V47" s="13" t="n"/>
      <c r="W47" s="13" t="n"/>
      <c r="X47" s="13" t="n"/>
      <c r="Y47" s="12">
        <f>IF(A47="","",COUNTIF(kb_minuta_respuesta!$A$2:$A$2000,A47))</f>
        <v/>
      </c>
      <c r="Z47" s="12">
        <f>IF(A47="","",COUNTIFS(kb_minuta_recomendacion!$A$2:$A$2000,A47,kb_minuta_recomendacion!$C$2:$C$2000,"RECOMENDACION"))</f>
        <v/>
      </c>
      <c r="AA47" s="12">
        <f>IF(A47="","",COUNTIF(kb_minuta_recomendacion!$A$2:$A$2000,A47)-Z47)</f>
        <v/>
      </c>
    </row>
    <row r="48">
      <c r="A48" s="13" t="n"/>
      <c r="B48" s="13" t="n"/>
      <c r="C48" s="13" t="n"/>
      <c r="D48" s="13" t="n"/>
      <c r="E48" s="13" t="n"/>
      <c r="F48" s="14" t="n"/>
      <c r="G48" s="13" t="n"/>
      <c r="H48" s="13" t="n"/>
      <c r="I48" s="13" t="n"/>
      <c r="J48" s="13" t="n"/>
      <c r="K48" s="13" t="n"/>
      <c r="L48" s="13" t="n"/>
      <c r="M48" s="13" t="n"/>
      <c r="N48" s="13" t="n"/>
      <c r="O48" s="13" t="n"/>
      <c r="P48" s="13" t="n"/>
      <c r="Q48" s="13" t="n"/>
      <c r="R48" s="13" t="n"/>
      <c r="S48" s="13" t="n"/>
      <c r="T48" s="13" t="n"/>
      <c r="U48" s="13" t="n"/>
      <c r="V48" s="13" t="n"/>
      <c r="W48" s="13" t="n"/>
      <c r="X48" s="13" t="n"/>
      <c r="Y48" s="12">
        <f>IF(A48="","",COUNTIF(kb_minuta_respuesta!$A$2:$A$2000,A48))</f>
        <v/>
      </c>
      <c r="Z48" s="12">
        <f>IF(A48="","",COUNTIFS(kb_minuta_recomendacion!$A$2:$A$2000,A48,kb_minuta_recomendacion!$C$2:$C$2000,"RECOMENDACION"))</f>
        <v/>
      </c>
      <c r="AA48" s="12">
        <f>IF(A48="","",COUNTIF(kb_minuta_recomendacion!$A$2:$A$2000,A48)-Z48)</f>
        <v/>
      </c>
    </row>
    <row r="49">
      <c r="A49" s="13" t="n"/>
      <c r="B49" s="13" t="n"/>
      <c r="C49" s="13" t="n"/>
      <c r="D49" s="13" t="n"/>
      <c r="E49" s="13" t="n"/>
      <c r="F49" s="14" t="n"/>
      <c r="G49" s="13" t="n"/>
      <c r="H49" s="13" t="n"/>
      <c r="I49" s="13" t="n"/>
      <c r="J49" s="13" t="n"/>
      <c r="K49" s="13" t="n"/>
      <c r="L49" s="13" t="n"/>
      <c r="M49" s="13" t="n"/>
      <c r="N49" s="13" t="n"/>
      <c r="O49" s="13" t="n"/>
      <c r="P49" s="13" t="n"/>
      <c r="Q49" s="13" t="n"/>
      <c r="R49" s="13" t="n"/>
      <c r="S49" s="13" t="n"/>
      <c r="T49" s="13" t="n"/>
      <c r="U49" s="13" t="n"/>
      <c r="V49" s="13" t="n"/>
      <c r="W49" s="13" t="n"/>
      <c r="X49" s="13" t="n"/>
      <c r="Y49" s="12">
        <f>IF(A49="","",COUNTIF(kb_minuta_respuesta!$A$2:$A$2000,A49))</f>
        <v/>
      </c>
      <c r="Z49" s="12">
        <f>IF(A49="","",COUNTIFS(kb_minuta_recomendacion!$A$2:$A$2000,A49,kb_minuta_recomendacion!$C$2:$C$2000,"RECOMENDACION"))</f>
        <v/>
      </c>
      <c r="AA49" s="12">
        <f>IF(A49="","",COUNTIF(kb_minuta_recomendacion!$A$2:$A$2000,A49)-Z49)</f>
        <v/>
      </c>
    </row>
    <row r="50">
      <c r="A50" s="13" t="n"/>
      <c r="B50" s="13" t="n"/>
      <c r="C50" s="13" t="n"/>
      <c r="D50" s="13" t="n"/>
      <c r="E50" s="13" t="n"/>
      <c r="F50" s="14" t="n"/>
      <c r="G50" s="13" t="n"/>
      <c r="H50" s="13" t="n"/>
      <c r="I50" s="13" t="n"/>
      <c r="J50" s="13" t="n"/>
      <c r="K50" s="13" t="n"/>
      <c r="L50" s="13" t="n"/>
      <c r="M50" s="13" t="n"/>
      <c r="N50" s="13" t="n"/>
      <c r="O50" s="13" t="n"/>
      <c r="P50" s="13" t="n"/>
      <c r="Q50" s="13" t="n"/>
      <c r="R50" s="13" t="n"/>
      <c r="S50" s="13" t="n"/>
      <c r="T50" s="13" t="n"/>
      <c r="U50" s="13" t="n"/>
      <c r="V50" s="13" t="n"/>
      <c r="W50" s="13" t="n"/>
      <c r="X50" s="13" t="n"/>
      <c r="Y50" s="12">
        <f>IF(A50="","",COUNTIF(kb_minuta_respuesta!$A$2:$A$2000,A50))</f>
        <v/>
      </c>
      <c r="Z50" s="12">
        <f>IF(A50="","",COUNTIFS(kb_minuta_recomendacion!$A$2:$A$2000,A50,kb_minuta_recomendacion!$C$2:$C$2000,"RECOMENDACION"))</f>
        <v/>
      </c>
      <c r="AA50" s="12">
        <f>IF(A50="","",COUNTIF(kb_minuta_recomendacion!$A$2:$A$2000,A50)-Z50)</f>
        <v/>
      </c>
    </row>
    <row r="51">
      <c r="A51" s="13" t="n"/>
      <c r="B51" s="13" t="n"/>
      <c r="C51" s="13" t="n"/>
      <c r="D51" s="13" t="n"/>
      <c r="E51" s="13" t="n"/>
      <c r="F51" s="14" t="n"/>
      <c r="G51" s="13" t="n"/>
      <c r="H51" s="13" t="n"/>
      <c r="I51" s="13" t="n"/>
      <c r="J51" s="13" t="n"/>
      <c r="K51" s="13" t="n"/>
      <c r="L51" s="13" t="n"/>
      <c r="M51" s="13" t="n"/>
      <c r="N51" s="13" t="n"/>
      <c r="O51" s="13" t="n"/>
      <c r="P51" s="13" t="n"/>
      <c r="Q51" s="13" t="n"/>
      <c r="R51" s="13" t="n"/>
      <c r="S51" s="13" t="n"/>
      <c r="T51" s="13" t="n"/>
      <c r="U51" s="13" t="n"/>
      <c r="V51" s="13" t="n"/>
      <c r="W51" s="13" t="n"/>
      <c r="X51" s="13" t="n"/>
      <c r="Y51" s="12">
        <f>IF(A51="","",COUNTIF(kb_minuta_respuesta!$A$2:$A$2000,A51))</f>
        <v/>
      </c>
      <c r="Z51" s="12">
        <f>IF(A51="","",COUNTIFS(kb_minuta_recomendacion!$A$2:$A$2000,A51,kb_minuta_recomendacion!$C$2:$C$2000,"RECOMENDACION"))</f>
        <v/>
      </c>
      <c r="AA51" s="12">
        <f>IF(A51="","",COUNTIF(kb_minuta_recomendacion!$A$2:$A$2000,A51)-Z51)</f>
        <v/>
      </c>
    </row>
    <row r="52">
      <c r="A52" s="13" t="n"/>
      <c r="B52" s="13" t="n"/>
      <c r="C52" s="13" t="n"/>
      <c r="D52" s="13" t="n"/>
      <c r="E52" s="13" t="n"/>
      <c r="F52" s="14" t="n"/>
      <c r="G52" s="13" t="n"/>
      <c r="H52" s="13" t="n"/>
      <c r="I52" s="13" t="n"/>
      <c r="J52" s="13" t="n"/>
      <c r="K52" s="13" t="n"/>
      <c r="L52" s="13" t="n"/>
      <c r="M52" s="13" t="n"/>
      <c r="N52" s="13" t="n"/>
      <c r="O52" s="13" t="n"/>
      <c r="P52" s="13" t="n"/>
      <c r="Q52" s="13" t="n"/>
      <c r="R52" s="13" t="n"/>
      <c r="S52" s="13" t="n"/>
      <c r="T52" s="13" t="n"/>
      <c r="U52" s="13" t="n"/>
      <c r="V52" s="13" t="n"/>
      <c r="W52" s="13" t="n"/>
      <c r="X52" s="13" t="n"/>
      <c r="Y52" s="12">
        <f>IF(A52="","",COUNTIF(kb_minuta_respuesta!$A$2:$A$2000,A52))</f>
        <v/>
      </c>
      <c r="Z52" s="12">
        <f>IF(A52="","",COUNTIFS(kb_minuta_recomendacion!$A$2:$A$2000,A52,kb_minuta_recomendacion!$C$2:$C$2000,"RECOMENDACION"))</f>
        <v/>
      </c>
      <c r="AA52" s="12">
        <f>IF(A52="","",COUNTIF(kb_minuta_recomendacion!$A$2:$A$2000,A52)-Z52)</f>
        <v/>
      </c>
    </row>
    <row r="53">
      <c r="A53" s="13" t="n"/>
      <c r="B53" s="13" t="n"/>
      <c r="C53" s="13" t="n"/>
      <c r="D53" s="13" t="n"/>
      <c r="E53" s="13" t="n"/>
      <c r="F53" s="14" t="n"/>
      <c r="G53" s="13" t="n"/>
      <c r="H53" s="13" t="n"/>
      <c r="I53" s="13" t="n"/>
      <c r="J53" s="13" t="n"/>
      <c r="K53" s="13" t="n"/>
      <c r="L53" s="13" t="n"/>
      <c r="M53" s="13" t="n"/>
      <c r="N53" s="13" t="n"/>
      <c r="O53" s="13" t="n"/>
      <c r="P53" s="13" t="n"/>
      <c r="Q53" s="13" t="n"/>
      <c r="R53" s="13" t="n"/>
      <c r="S53" s="13" t="n"/>
      <c r="T53" s="13" t="n"/>
      <c r="U53" s="13" t="n"/>
      <c r="V53" s="13" t="n"/>
      <c r="W53" s="13" t="n"/>
      <c r="X53" s="13" t="n"/>
      <c r="Y53" s="12">
        <f>IF(A53="","",COUNTIF(kb_minuta_respuesta!$A$2:$A$2000,A53))</f>
        <v/>
      </c>
      <c r="Z53" s="12">
        <f>IF(A53="","",COUNTIFS(kb_minuta_recomendacion!$A$2:$A$2000,A53,kb_minuta_recomendacion!$C$2:$C$2000,"RECOMENDACION"))</f>
        <v/>
      </c>
      <c r="AA53" s="12">
        <f>IF(A53="","",COUNTIF(kb_minuta_recomendacion!$A$2:$A$2000,A53)-Z53)</f>
        <v/>
      </c>
    </row>
    <row r="54">
      <c r="A54" s="13" t="n"/>
      <c r="B54" s="13" t="n"/>
      <c r="C54" s="13" t="n"/>
      <c r="D54" s="13" t="n"/>
      <c r="E54" s="13" t="n"/>
      <c r="F54" s="14" t="n"/>
      <c r="G54" s="13" t="n"/>
      <c r="H54" s="13" t="n"/>
      <c r="I54" s="13" t="n"/>
      <c r="J54" s="13" t="n"/>
      <c r="K54" s="13" t="n"/>
      <c r="L54" s="13" t="n"/>
      <c r="M54" s="13" t="n"/>
      <c r="N54" s="13" t="n"/>
      <c r="O54" s="13" t="n"/>
      <c r="P54" s="13" t="n"/>
      <c r="Q54" s="13" t="n"/>
      <c r="R54" s="13" t="n"/>
      <c r="S54" s="13" t="n"/>
      <c r="T54" s="13" t="n"/>
      <c r="U54" s="13" t="n"/>
      <c r="V54" s="13" t="n"/>
      <c r="W54" s="13" t="n"/>
      <c r="X54" s="13" t="n"/>
      <c r="Y54" s="12">
        <f>IF(A54="","",COUNTIF(kb_minuta_respuesta!$A$2:$A$2000,A54))</f>
        <v/>
      </c>
      <c r="Z54" s="12">
        <f>IF(A54="","",COUNTIFS(kb_minuta_recomendacion!$A$2:$A$2000,A54,kb_minuta_recomendacion!$C$2:$C$2000,"RECOMENDACION"))</f>
        <v/>
      </c>
      <c r="AA54" s="12">
        <f>IF(A54="","",COUNTIF(kb_minuta_recomendacion!$A$2:$A$2000,A54)-Z54)</f>
        <v/>
      </c>
    </row>
    <row r="55">
      <c r="A55" s="13" t="n"/>
      <c r="B55" s="13" t="n"/>
      <c r="C55" s="13" t="n"/>
      <c r="D55" s="13" t="n"/>
      <c r="E55" s="13" t="n"/>
      <c r="F55" s="14" t="n"/>
      <c r="G55" s="13" t="n"/>
      <c r="H55" s="13" t="n"/>
      <c r="I55" s="13" t="n"/>
      <c r="J55" s="13" t="n"/>
      <c r="K55" s="13" t="n"/>
      <c r="L55" s="13" t="n"/>
      <c r="M55" s="13" t="n"/>
      <c r="N55" s="13" t="n"/>
      <c r="O55" s="13" t="n"/>
      <c r="P55" s="13" t="n"/>
      <c r="Q55" s="13" t="n"/>
      <c r="R55" s="13" t="n"/>
      <c r="S55" s="13" t="n"/>
      <c r="T55" s="13" t="n"/>
      <c r="U55" s="13" t="n"/>
      <c r="V55" s="13" t="n"/>
      <c r="W55" s="13" t="n"/>
      <c r="X55" s="13" t="n"/>
      <c r="Y55" s="12">
        <f>IF(A55="","",COUNTIF(kb_minuta_respuesta!$A$2:$A$2000,A55))</f>
        <v/>
      </c>
      <c r="Z55" s="12">
        <f>IF(A55="","",COUNTIFS(kb_minuta_recomendacion!$A$2:$A$2000,A55,kb_minuta_recomendacion!$C$2:$C$2000,"RECOMENDACION"))</f>
        <v/>
      </c>
      <c r="AA55" s="12">
        <f>IF(A55="","",COUNTIF(kb_minuta_recomendacion!$A$2:$A$2000,A55)-Z55)</f>
        <v/>
      </c>
    </row>
    <row r="56">
      <c r="A56" s="13" t="n"/>
      <c r="B56" s="13" t="n"/>
      <c r="C56" s="13" t="n"/>
      <c r="D56" s="13" t="n"/>
      <c r="E56" s="13" t="n"/>
      <c r="F56" s="14" t="n"/>
      <c r="G56" s="13" t="n"/>
      <c r="H56" s="13" t="n"/>
      <c r="I56" s="13" t="n"/>
      <c r="J56" s="13" t="n"/>
      <c r="K56" s="13" t="n"/>
      <c r="L56" s="13" t="n"/>
      <c r="M56" s="13" t="n"/>
      <c r="N56" s="13" t="n"/>
      <c r="O56" s="13" t="n"/>
      <c r="P56" s="13" t="n"/>
      <c r="Q56" s="13" t="n"/>
      <c r="R56" s="13" t="n"/>
      <c r="S56" s="13" t="n"/>
      <c r="T56" s="13" t="n"/>
      <c r="U56" s="13" t="n"/>
      <c r="V56" s="13" t="n"/>
      <c r="W56" s="13" t="n"/>
      <c r="X56" s="13" t="n"/>
      <c r="Y56" s="12">
        <f>IF(A56="","",COUNTIF(kb_minuta_respuesta!$A$2:$A$2000,A56))</f>
        <v/>
      </c>
      <c r="Z56" s="12">
        <f>IF(A56="","",COUNTIFS(kb_minuta_recomendacion!$A$2:$A$2000,A56,kb_minuta_recomendacion!$C$2:$C$2000,"RECOMENDACION"))</f>
        <v/>
      </c>
      <c r="AA56" s="12">
        <f>IF(A56="","",COUNTIF(kb_minuta_recomendacion!$A$2:$A$2000,A56)-Z56)</f>
        <v/>
      </c>
    </row>
    <row r="57">
      <c r="A57" s="13" t="n"/>
      <c r="B57" s="13" t="n"/>
      <c r="C57" s="13" t="n"/>
      <c r="D57" s="13" t="n"/>
      <c r="E57" s="13" t="n"/>
      <c r="F57" s="14" t="n"/>
      <c r="G57" s="13" t="n"/>
      <c r="H57" s="13" t="n"/>
      <c r="I57" s="13" t="n"/>
      <c r="J57" s="13" t="n"/>
      <c r="K57" s="13" t="n"/>
      <c r="L57" s="13" t="n"/>
      <c r="M57" s="13" t="n"/>
      <c r="N57" s="13" t="n"/>
      <c r="O57" s="13" t="n"/>
      <c r="P57" s="13" t="n"/>
      <c r="Q57" s="13" t="n"/>
      <c r="R57" s="13" t="n"/>
      <c r="S57" s="13" t="n"/>
      <c r="T57" s="13" t="n"/>
      <c r="U57" s="13" t="n"/>
      <c r="V57" s="13" t="n"/>
      <c r="W57" s="13" t="n"/>
      <c r="X57" s="13" t="n"/>
      <c r="Y57" s="12">
        <f>IF(A57="","",COUNTIF(kb_minuta_respuesta!$A$2:$A$2000,A57))</f>
        <v/>
      </c>
      <c r="Z57" s="12">
        <f>IF(A57="","",COUNTIFS(kb_minuta_recomendacion!$A$2:$A$2000,A57,kb_minuta_recomendacion!$C$2:$C$2000,"RECOMENDACION"))</f>
        <v/>
      </c>
      <c r="AA57" s="12">
        <f>IF(A57="","",COUNTIF(kb_minuta_recomendacion!$A$2:$A$2000,A57)-Z57)</f>
        <v/>
      </c>
    </row>
    <row r="58">
      <c r="A58" s="13" t="n"/>
      <c r="B58" s="13" t="n"/>
      <c r="C58" s="13" t="n"/>
      <c r="D58" s="13" t="n"/>
      <c r="E58" s="13" t="n"/>
      <c r="F58" s="14" t="n"/>
      <c r="G58" s="13" t="n"/>
      <c r="H58" s="13" t="n"/>
      <c r="I58" s="13" t="n"/>
      <c r="J58" s="13" t="n"/>
      <c r="K58" s="13" t="n"/>
      <c r="L58" s="13" t="n"/>
      <c r="M58" s="13" t="n"/>
      <c r="N58" s="13" t="n"/>
      <c r="O58" s="13" t="n"/>
      <c r="P58" s="13" t="n"/>
      <c r="Q58" s="13" t="n"/>
      <c r="R58" s="13" t="n"/>
      <c r="S58" s="13" t="n"/>
      <c r="T58" s="13" t="n"/>
      <c r="U58" s="13" t="n"/>
      <c r="V58" s="13" t="n"/>
      <c r="W58" s="13" t="n"/>
      <c r="X58" s="13" t="n"/>
      <c r="Y58" s="12">
        <f>IF(A58="","",COUNTIF(kb_minuta_respuesta!$A$2:$A$2000,A58))</f>
        <v/>
      </c>
      <c r="Z58" s="12">
        <f>IF(A58="","",COUNTIFS(kb_minuta_recomendacion!$A$2:$A$2000,A58,kb_minuta_recomendacion!$C$2:$C$2000,"RECOMENDACION"))</f>
        <v/>
      </c>
      <c r="AA58" s="12">
        <f>IF(A58="","",COUNTIF(kb_minuta_recomendacion!$A$2:$A$2000,A58)-Z58)</f>
        <v/>
      </c>
    </row>
    <row r="59">
      <c r="A59" s="13" t="n"/>
      <c r="B59" s="13" t="n"/>
      <c r="C59" s="13" t="n"/>
      <c r="D59" s="13" t="n"/>
      <c r="E59" s="13" t="n"/>
      <c r="F59" s="14" t="n"/>
      <c r="G59" s="13" t="n"/>
      <c r="H59" s="13" t="n"/>
      <c r="I59" s="13" t="n"/>
      <c r="J59" s="13" t="n"/>
      <c r="K59" s="13" t="n"/>
      <c r="L59" s="13" t="n"/>
      <c r="M59" s="13" t="n"/>
      <c r="N59" s="13" t="n"/>
      <c r="O59" s="13" t="n"/>
      <c r="P59" s="13" t="n"/>
      <c r="Q59" s="13" t="n"/>
      <c r="R59" s="13" t="n"/>
      <c r="S59" s="13" t="n"/>
      <c r="T59" s="13" t="n"/>
      <c r="U59" s="13" t="n"/>
      <c r="V59" s="13" t="n"/>
      <c r="W59" s="13" t="n"/>
      <c r="X59" s="13" t="n"/>
      <c r="Y59" s="12">
        <f>IF(A59="","",COUNTIF(kb_minuta_respuesta!$A$2:$A$2000,A59))</f>
        <v/>
      </c>
      <c r="Z59" s="12">
        <f>IF(A59="","",COUNTIFS(kb_minuta_recomendacion!$A$2:$A$2000,A59,kb_minuta_recomendacion!$C$2:$C$2000,"RECOMENDACION"))</f>
        <v/>
      </c>
      <c r="AA59" s="12">
        <f>IF(A59="","",COUNTIF(kb_minuta_recomendacion!$A$2:$A$2000,A59)-Z59)</f>
        <v/>
      </c>
    </row>
    <row r="60">
      <c r="A60" s="13" t="n"/>
      <c r="B60" s="13" t="n"/>
      <c r="C60" s="13" t="n"/>
      <c r="D60" s="13" t="n"/>
      <c r="E60" s="13" t="n"/>
      <c r="F60" s="14" t="n"/>
      <c r="G60" s="13" t="n"/>
      <c r="H60" s="13" t="n"/>
      <c r="I60" s="13" t="n"/>
      <c r="J60" s="13" t="n"/>
      <c r="K60" s="13" t="n"/>
      <c r="L60" s="13" t="n"/>
      <c r="M60" s="13" t="n"/>
      <c r="N60" s="13" t="n"/>
      <c r="O60" s="13" t="n"/>
      <c r="P60" s="13" t="n"/>
      <c r="Q60" s="13" t="n"/>
      <c r="R60" s="13" t="n"/>
      <c r="S60" s="13" t="n"/>
      <c r="T60" s="13" t="n"/>
      <c r="U60" s="13" t="n"/>
      <c r="V60" s="13" t="n"/>
      <c r="W60" s="13" t="n"/>
      <c r="X60" s="13" t="n"/>
      <c r="Y60" s="12">
        <f>IF(A60="","",COUNTIF(kb_minuta_respuesta!$A$2:$A$2000,A60))</f>
        <v/>
      </c>
      <c r="Z60" s="12">
        <f>IF(A60="","",COUNTIFS(kb_minuta_recomendacion!$A$2:$A$2000,A60,kb_minuta_recomendacion!$C$2:$C$2000,"RECOMENDACION"))</f>
        <v/>
      </c>
      <c r="AA60" s="12">
        <f>IF(A60="","",COUNTIF(kb_minuta_recomendacion!$A$2:$A$2000,A60)-Z60)</f>
        <v/>
      </c>
    </row>
    <row r="61">
      <c r="A61" s="13" t="n"/>
      <c r="B61" s="13" t="n"/>
      <c r="C61" s="13" t="n"/>
      <c r="D61" s="13" t="n"/>
      <c r="E61" s="13" t="n"/>
      <c r="F61" s="14" t="n"/>
      <c r="G61" s="13" t="n"/>
      <c r="H61" s="13" t="n"/>
      <c r="I61" s="13" t="n"/>
      <c r="J61" s="13" t="n"/>
      <c r="K61" s="13" t="n"/>
      <c r="L61" s="13" t="n"/>
      <c r="M61" s="13" t="n"/>
      <c r="N61" s="13" t="n"/>
      <c r="O61" s="13" t="n"/>
      <c r="P61" s="13" t="n"/>
      <c r="Q61" s="13" t="n"/>
      <c r="R61" s="13" t="n"/>
      <c r="S61" s="13" t="n"/>
      <c r="T61" s="13" t="n"/>
      <c r="U61" s="13" t="n"/>
      <c r="V61" s="13" t="n"/>
      <c r="W61" s="13" t="n"/>
      <c r="X61" s="13" t="n"/>
      <c r="Y61" s="12">
        <f>IF(A61="","",COUNTIF(kb_minuta_respuesta!$A$2:$A$2000,A61))</f>
        <v/>
      </c>
      <c r="Z61" s="12">
        <f>IF(A61="","",COUNTIFS(kb_minuta_recomendacion!$A$2:$A$2000,A61,kb_minuta_recomendacion!$C$2:$C$2000,"RECOMENDACION"))</f>
        <v/>
      </c>
      <c r="AA61" s="12">
        <f>IF(A61="","",COUNTIF(kb_minuta_recomendacion!$A$2:$A$2000,A61)-Z61)</f>
        <v/>
      </c>
    </row>
    <row r="62">
      <c r="A62" s="13" t="n"/>
      <c r="B62" s="13" t="n"/>
      <c r="C62" s="13" t="n"/>
      <c r="D62" s="13" t="n"/>
      <c r="E62" s="13" t="n"/>
      <c r="F62" s="14" t="n"/>
      <c r="G62" s="13" t="n"/>
      <c r="H62" s="13" t="n"/>
      <c r="I62" s="13" t="n"/>
      <c r="J62" s="13" t="n"/>
      <c r="K62" s="13" t="n"/>
      <c r="L62" s="13" t="n"/>
      <c r="M62" s="13" t="n"/>
      <c r="N62" s="13" t="n"/>
      <c r="O62" s="13" t="n"/>
      <c r="P62" s="13" t="n"/>
      <c r="Q62" s="13" t="n"/>
      <c r="R62" s="13" t="n"/>
      <c r="S62" s="13" t="n"/>
      <c r="T62" s="13" t="n"/>
      <c r="U62" s="13" t="n"/>
      <c r="V62" s="13" t="n"/>
      <c r="W62" s="13" t="n"/>
      <c r="X62" s="13" t="n"/>
      <c r="Y62" s="12">
        <f>IF(A62="","",COUNTIF(kb_minuta_respuesta!$A$2:$A$2000,A62))</f>
        <v/>
      </c>
      <c r="Z62" s="12">
        <f>IF(A62="","",COUNTIFS(kb_minuta_recomendacion!$A$2:$A$2000,A62,kb_minuta_recomendacion!$C$2:$C$2000,"RECOMENDACION"))</f>
        <v/>
      </c>
      <c r="AA62" s="12">
        <f>IF(A62="","",COUNTIF(kb_minuta_recomendacion!$A$2:$A$2000,A62)-Z62)</f>
        <v/>
      </c>
    </row>
    <row r="63">
      <c r="A63" s="13" t="n"/>
      <c r="B63" s="13" t="n"/>
      <c r="C63" s="13" t="n"/>
      <c r="D63" s="13" t="n"/>
      <c r="E63" s="13" t="n"/>
      <c r="F63" s="14" t="n"/>
      <c r="G63" s="13" t="n"/>
      <c r="H63" s="13" t="n"/>
      <c r="I63" s="13" t="n"/>
      <c r="J63" s="13" t="n"/>
      <c r="K63" s="13" t="n"/>
      <c r="L63" s="13" t="n"/>
      <c r="M63" s="13" t="n"/>
      <c r="N63" s="13" t="n"/>
      <c r="O63" s="13" t="n"/>
      <c r="P63" s="13" t="n"/>
      <c r="Q63" s="13" t="n"/>
      <c r="R63" s="13" t="n"/>
      <c r="S63" s="13" t="n"/>
      <c r="T63" s="13" t="n"/>
      <c r="U63" s="13" t="n"/>
      <c r="V63" s="13" t="n"/>
      <c r="W63" s="13" t="n"/>
      <c r="X63" s="13" t="n"/>
      <c r="Y63" s="12">
        <f>IF(A63="","",COUNTIF(kb_minuta_respuesta!$A$2:$A$2000,A63))</f>
        <v/>
      </c>
      <c r="Z63" s="12">
        <f>IF(A63="","",COUNTIFS(kb_minuta_recomendacion!$A$2:$A$2000,A63,kb_minuta_recomendacion!$C$2:$C$2000,"RECOMENDACION"))</f>
        <v/>
      </c>
      <c r="AA63" s="12">
        <f>IF(A63="","",COUNTIF(kb_minuta_recomendacion!$A$2:$A$2000,A63)-Z63)</f>
        <v/>
      </c>
    </row>
    <row r="64">
      <c r="A64" s="13" t="n"/>
      <c r="B64" s="13" t="n"/>
      <c r="C64" s="13" t="n"/>
      <c r="D64" s="13" t="n"/>
      <c r="E64" s="13" t="n"/>
      <c r="F64" s="14" t="n"/>
      <c r="G64" s="13" t="n"/>
      <c r="H64" s="13" t="n"/>
      <c r="I64" s="13" t="n"/>
      <c r="J64" s="13" t="n"/>
      <c r="K64" s="13" t="n"/>
      <c r="L64" s="13" t="n"/>
      <c r="M64" s="13" t="n"/>
      <c r="N64" s="13" t="n"/>
      <c r="O64" s="13" t="n"/>
      <c r="P64" s="13" t="n"/>
      <c r="Q64" s="13" t="n"/>
      <c r="R64" s="13" t="n"/>
      <c r="S64" s="13" t="n"/>
      <c r="T64" s="13" t="n"/>
      <c r="U64" s="13" t="n"/>
      <c r="V64" s="13" t="n"/>
      <c r="W64" s="13" t="n"/>
      <c r="X64" s="13" t="n"/>
      <c r="Y64" s="12">
        <f>IF(A64="","",COUNTIF(kb_minuta_respuesta!$A$2:$A$2000,A64))</f>
        <v/>
      </c>
      <c r="Z64" s="12">
        <f>IF(A64="","",COUNTIFS(kb_minuta_recomendacion!$A$2:$A$2000,A64,kb_minuta_recomendacion!$C$2:$C$2000,"RECOMENDACION"))</f>
        <v/>
      </c>
      <c r="AA64" s="12">
        <f>IF(A64="","",COUNTIF(kb_minuta_recomendacion!$A$2:$A$2000,A64)-Z64)</f>
        <v/>
      </c>
    </row>
    <row r="65">
      <c r="A65" s="13" t="n"/>
      <c r="B65" s="13" t="n"/>
      <c r="C65" s="13" t="n"/>
      <c r="D65" s="13" t="n"/>
      <c r="E65" s="13" t="n"/>
      <c r="F65" s="14" t="n"/>
      <c r="G65" s="13" t="n"/>
      <c r="H65" s="13" t="n"/>
      <c r="I65" s="13" t="n"/>
      <c r="J65" s="13" t="n"/>
      <c r="K65" s="13" t="n"/>
      <c r="L65" s="13" t="n"/>
      <c r="M65" s="13" t="n"/>
      <c r="N65" s="13" t="n"/>
      <c r="O65" s="13" t="n"/>
      <c r="P65" s="13" t="n"/>
      <c r="Q65" s="13" t="n"/>
      <c r="R65" s="13" t="n"/>
      <c r="S65" s="13" t="n"/>
      <c r="T65" s="13" t="n"/>
      <c r="U65" s="13" t="n"/>
      <c r="V65" s="13" t="n"/>
      <c r="W65" s="13" t="n"/>
      <c r="X65" s="13" t="n"/>
      <c r="Y65" s="12">
        <f>IF(A65="","",COUNTIF(kb_minuta_respuesta!$A$2:$A$2000,A65))</f>
        <v/>
      </c>
      <c r="Z65" s="12">
        <f>IF(A65="","",COUNTIFS(kb_minuta_recomendacion!$A$2:$A$2000,A65,kb_minuta_recomendacion!$C$2:$C$2000,"RECOMENDACION"))</f>
        <v/>
      </c>
      <c r="AA65" s="12">
        <f>IF(A65="","",COUNTIF(kb_minuta_recomendacion!$A$2:$A$2000,A65)-Z65)</f>
        <v/>
      </c>
    </row>
    <row r="66">
      <c r="A66" s="13" t="n"/>
      <c r="B66" s="13" t="n"/>
      <c r="C66" s="13" t="n"/>
      <c r="D66" s="13" t="n"/>
      <c r="E66" s="13" t="n"/>
      <c r="F66" s="14" t="n"/>
      <c r="G66" s="13" t="n"/>
      <c r="H66" s="13" t="n"/>
      <c r="I66" s="13" t="n"/>
      <c r="J66" s="13" t="n"/>
      <c r="K66" s="13" t="n"/>
      <c r="L66" s="13" t="n"/>
      <c r="M66" s="13" t="n"/>
      <c r="N66" s="13" t="n"/>
      <c r="O66" s="13" t="n"/>
      <c r="P66" s="13" t="n"/>
      <c r="Q66" s="13" t="n"/>
      <c r="R66" s="13" t="n"/>
      <c r="S66" s="13" t="n"/>
      <c r="T66" s="13" t="n"/>
      <c r="U66" s="13" t="n"/>
      <c r="V66" s="13" t="n"/>
      <c r="W66" s="13" t="n"/>
      <c r="X66" s="13" t="n"/>
      <c r="Y66" s="12">
        <f>IF(A66="","",COUNTIF(kb_minuta_respuesta!$A$2:$A$2000,A66))</f>
        <v/>
      </c>
      <c r="Z66" s="12">
        <f>IF(A66="","",COUNTIFS(kb_minuta_recomendacion!$A$2:$A$2000,A66,kb_minuta_recomendacion!$C$2:$C$2000,"RECOMENDACION"))</f>
        <v/>
      </c>
      <c r="AA66" s="12">
        <f>IF(A66="","",COUNTIF(kb_minuta_recomendacion!$A$2:$A$2000,A66)-Z66)</f>
        <v/>
      </c>
    </row>
    <row r="67">
      <c r="A67" s="13" t="n"/>
      <c r="B67" s="13" t="n"/>
      <c r="C67" s="13" t="n"/>
      <c r="D67" s="13" t="n"/>
      <c r="E67" s="13" t="n"/>
      <c r="F67" s="14" t="n"/>
      <c r="G67" s="13" t="n"/>
      <c r="H67" s="13" t="n"/>
      <c r="I67" s="13" t="n"/>
      <c r="J67" s="13" t="n"/>
      <c r="K67" s="13" t="n"/>
      <c r="L67" s="13" t="n"/>
      <c r="M67" s="13" t="n"/>
      <c r="N67" s="13" t="n"/>
      <c r="O67" s="13" t="n"/>
      <c r="P67" s="13" t="n"/>
      <c r="Q67" s="13" t="n"/>
      <c r="R67" s="13" t="n"/>
      <c r="S67" s="13" t="n"/>
      <c r="T67" s="13" t="n"/>
      <c r="U67" s="13" t="n"/>
      <c r="V67" s="13" t="n"/>
      <c r="W67" s="13" t="n"/>
      <c r="X67" s="13" t="n"/>
      <c r="Y67" s="12">
        <f>IF(A67="","",COUNTIF(kb_minuta_respuesta!$A$2:$A$2000,A67))</f>
        <v/>
      </c>
      <c r="Z67" s="12">
        <f>IF(A67="","",COUNTIFS(kb_minuta_recomendacion!$A$2:$A$2000,A67,kb_minuta_recomendacion!$C$2:$C$2000,"RECOMENDACION"))</f>
        <v/>
      </c>
      <c r="AA67" s="12">
        <f>IF(A67="","",COUNTIF(kb_minuta_recomendacion!$A$2:$A$2000,A67)-Z67)</f>
        <v/>
      </c>
    </row>
    <row r="68">
      <c r="A68" s="13" t="n"/>
      <c r="B68" s="13" t="n"/>
      <c r="C68" s="13" t="n"/>
      <c r="D68" s="13" t="n"/>
      <c r="E68" s="13" t="n"/>
      <c r="F68" s="14" t="n"/>
      <c r="G68" s="13" t="n"/>
      <c r="H68" s="13" t="n"/>
      <c r="I68" s="13" t="n"/>
      <c r="J68" s="13" t="n"/>
      <c r="K68" s="13" t="n"/>
      <c r="L68" s="13" t="n"/>
      <c r="M68" s="13" t="n"/>
      <c r="N68" s="13" t="n"/>
      <c r="O68" s="13" t="n"/>
      <c r="P68" s="13" t="n"/>
      <c r="Q68" s="13" t="n"/>
      <c r="R68" s="13" t="n"/>
      <c r="S68" s="13" t="n"/>
      <c r="T68" s="13" t="n"/>
      <c r="U68" s="13" t="n"/>
      <c r="V68" s="13" t="n"/>
      <c r="W68" s="13" t="n"/>
      <c r="X68" s="13" t="n"/>
      <c r="Y68" s="12">
        <f>IF(A68="","",COUNTIF(kb_minuta_respuesta!$A$2:$A$2000,A68))</f>
        <v/>
      </c>
      <c r="Z68" s="12">
        <f>IF(A68="","",COUNTIFS(kb_minuta_recomendacion!$A$2:$A$2000,A68,kb_minuta_recomendacion!$C$2:$C$2000,"RECOMENDACION"))</f>
        <v/>
      </c>
      <c r="AA68" s="12">
        <f>IF(A68="","",COUNTIF(kb_minuta_recomendacion!$A$2:$A$2000,A68)-Z68)</f>
        <v/>
      </c>
    </row>
    <row r="69">
      <c r="A69" s="13" t="n"/>
      <c r="B69" s="13" t="n"/>
      <c r="C69" s="13" t="n"/>
      <c r="D69" s="13" t="n"/>
      <c r="E69" s="13" t="n"/>
      <c r="F69" s="14" t="n"/>
      <c r="G69" s="13" t="n"/>
      <c r="H69" s="13" t="n"/>
      <c r="I69" s="13" t="n"/>
      <c r="J69" s="13" t="n"/>
      <c r="K69" s="13" t="n"/>
      <c r="L69" s="13" t="n"/>
      <c r="M69" s="13" t="n"/>
      <c r="N69" s="13" t="n"/>
      <c r="O69" s="13" t="n"/>
      <c r="P69" s="13" t="n"/>
      <c r="Q69" s="13" t="n"/>
      <c r="R69" s="13" t="n"/>
      <c r="S69" s="13" t="n"/>
      <c r="T69" s="13" t="n"/>
      <c r="U69" s="13" t="n"/>
      <c r="V69" s="13" t="n"/>
      <c r="W69" s="13" t="n"/>
      <c r="X69" s="13" t="n"/>
      <c r="Y69" s="12">
        <f>IF(A69="","",COUNTIF(kb_minuta_respuesta!$A$2:$A$2000,A69))</f>
        <v/>
      </c>
      <c r="Z69" s="12">
        <f>IF(A69="","",COUNTIFS(kb_minuta_recomendacion!$A$2:$A$2000,A69,kb_minuta_recomendacion!$C$2:$C$2000,"RECOMENDACION"))</f>
        <v/>
      </c>
      <c r="AA69" s="12">
        <f>IF(A69="","",COUNTIF(kb_minuta_recomendacion!$A$2:$A$2000,A69)-Z69)</f>
        <v/>
      </c>
    </row>
    <row r="70">
      <c r="A70" s="13" t="n"/>
      <c r="B70" s="13" t="n"/>
      <c r="C70" s="13" t="n"/>
      <c r="D70" s="13" t="n"/>
      <c r="E70" s="13" t="n"/>
      <c r="F70" s="14" t="n"/>
      <c r="G70" s="13" t="n"/>
      <c r="H70" s="13" t="n"/>
      <c r="I70" s="13" t="n"/>
      <c r="J70" s="13" t="n"/>
      <c r="K70" s="13" t="n"/>
      <c r="L70" s="13" t="n"/>
      <c r="M70" s="13" t="n"/>
      <c r="N70" s="13" t="n"/>
      <c r="O70" s="13" t="n"/>
      <c r="P70" s="13" t="n"/>
      <c r="Q70" s="13" t="n"/>
      <c r="R70" s="13" t="n"/>
      <c r="S70" s="13" t="n"/>
      <c r="T70" s="13" t="n"/>
      <c r="U70" s="13" t="n"/>
      <c r="V70" s="13" t="n"/>
      <c r="W70" s="13" t="n"/>
      <c r="X70" s="13" t="n"/>
      <c r="Y70" s="12">
        <f>IF(A70="","",COUNTIF(kb_minuta_respuesta!$A$2:$A$2000,A70))</f>
        <v/>
      </c>
      <c r="Z70" s="12">
        <f>IF(A70="","",COUNTIFS(kb_minuta_recomendacion!$A$2:$A$2000,A70,kb_minuta_recomendacion!$C$2:$C$2000,"RECOMENDACION"))</f>
        <v/>
      </c>
      <c r="AA70" s="12">
        <f>IF(A70="","",COUNTIF(kb_minuta_recomendacion!$A$2:$A$2000,A70)-Z70)</f>
        <v/>
      </c>
    </row>
    <row r="71">
      <c r="A71" s="13" t="n"/>
      <c r="B71" s="13" t="n"/>
      <c r="C71" s="13" t="n"/>
      <c r="D71" s="13" t="n"/>
      <c r="E71" s="13" t="n"/>
      <c r="F71" s="14" t="n"/>
      <c r="G71" s="13" t="n"/>
      <c r="H71" s="13" t="n"/>
      <c r="I71" s="13" t="n"/>
      <c r="J71" s="13" t="n"/>
      <c r="K71" s="13" t="n"/>
      <c r="L71" s="13" t="n"/>
      <c r="M71" s="13" t="n"/>
      <c r="N71" s="13" t="n"/>
      <c r="O71" s="13" t="n"/>
      <c r="P71" s="13" t="n"/>
      <c r="Q71" s="13" t="n"/>
      <c r="R71" s="13" t="n"/>
      <c r="S71" s="13" t="n"/>
      <c r="T71" s="13" t="n"/>
      <c r="U71" s="13" t="n"/>
      <c r="V71" s="13" t="n"/>
      <c r="W71" s="13" t="n"/>
      <c r="X71" s="13" t="n"/>
      <c r="Y71" s="12">
        <f>IF(A71="","",COUNTIF(kb_minuta_respuesta!$A$2:$A$2000,A71))</f>
        <v/>
      </c>
      <c r="Z71" s="12">
        <f>IF(A71="","",COUNTIFS(kb_minuta_recomendacion!$A$2:$A$2000,A71,kb_minuta_recomendacion!$C$2:$C$2000,"RECOMENDACION"))</f>
        <v/>
      </c>
      <c r="AA71" s="12">
        <f>IF(A71="","",COUNTIF(kb_minuta_recomendacion!$A$2:$A$2000,A71)-Z71)</f>
        <v/>
      </c>
    </row>
    <row r="72">
      <c r="A72" s="13" t="n"/>
      <c r="B72" s="13" t="n"/>
      <c r="C72" s="13" t="n"/>
      <c r="D72" s="13" t="n"/>
      <c r="E72" s="13" t="n"/>
      <c r="F72" s="14" t="n"/>
      <c r="G72" s="13" t="n"/>
      <c r="H72" s="13" t="n"/>
      <c r="I72" s="13" t="n"/>
      <c r="J72" s="13" t="n"/>
      <c r="K72" s="13" t="n"/>
      <c r="L72" s="13" t="n"/>
      <c r="M72" s="13" t="n"/>
      <c r="N72" s="13" t="n"/>
      <c r="O72" s="13" t="n"/>
      <c r="P72" s="13" t="n"/>
      <c r="Q72" s="13" t="n"/>
      <c r="R72" s="13" t="n"/>
      <c r="S72" s="13" t="n"/>
      <c r="T72" s="13" t="n"/>
      <c r="U72" s="13" t="n"/>
      <c r="V72" s="13" t="n"/>
      <c r="W72" s="13" t="n"/>
      <c r="X72" s="13" t="n"/>
      <c r="Y72" s="12">
        <f>IF(A72="","",COUNTIF(kb_minuta_respuesta!$A$2:$A$2000,A72))</f>
        <v/>
      </c>
      <c r="Z72" s="12">
        <f>IF(A72="","",COUNTIFS(kb_minuta_recomendacion!$A$2:$A$2000,A72,kb_minuta_recomendacion!$C$2:$C$2000,"RECOMENDACION"))</f>
        <v/>
      </c>
      <c r="AA72" s="12">
        <f>IF(A72="","",COUNTIF(kb_minuta_recomendacion!$A$2:$A$2000,A72)-Z72)</f>
        <v/>
      </c>
    </row>
    <row r="73">
      <c r="A73" s="13" t="n"/>
      <c r="B73" s="13" t="n"/>
      <c r="C73" s="13" t="n"/>
      <c r="D73" s="13" t="n"/>
      <c r="E73" s="13" t="n"/>
      <c r="F73" s="14" t="n"/>
      <c r="G73" s="13" t="n"/>
      <c r="H73" s="13" t="n"/>
      <c r="I73" s="13" t="n"/>
      <c r="J73" s="13" t="n"/>
      <c r="K73" s="13" t="n"/>
      <c r="L73" s="13" t="n"/>
      <c r="M73" s="13" t="n"/>
      <c r="N73" s="13" t="n"/>
      <c r="O73" s="13" t="n"/>
      <c r="P73" s="13" t="n"/>
      <c r="Q73" s="13" t="n"/>
      <c r="R73" s="13" t="n"/>
      <c r="S73" s="13" t="n"/>
      <c r="T73" s="13" t="n"/>
      <c r="U73" s="13" t="n"/>
      <c r="V73" s="13" t="n"/>
      <c r="W73" s="13" t="n"/>
      <c r="X73" s="13" t="n"/>
      <c r="Y73" s="12">
        <f>IF(A73="","",COUNTIF(kb_minuta_respuesta!$A$2:$A$2000,A73))</f>
        <v/>
      </c>
      <c r="Z73" s="12">
        <f>IF(A73="","",COUNTIFS(kb_minuta_recomendacion!$A$2:$A$2000,A73,kb_minuta_recomendacion!$C$2:$C$2000,"RECOMENDACION"))</f>
        <v/>
      </c>
      <c r="AA73" s="12">
        <f>IF(A73="","",COUNTIF(kb_minuta_recomendacion!$A$2:$A$2000,A73)-Z73)</f>
        <v/>
      </c>
    </row>
    <row r="74">
      <c r="A74" s="13" t="n"/>
      <c r="B74" s="13" t="n"/>
      <c r="C74" s="13" t="n"/>
      <c r="D74" s="13" t="n"/>
      <c r="E74" s="13" t="n"/>
      <c r="F74" s="14" t="n"/>
      <c r="G74" s="13" t="n"/>
      <c r="H74" s="13" t="n"/>
      <c r="I74" s="13" t="n"/>
      <c r="J74" s="13" t="n"/>
      <c r="K74" s="13" t="n"/>
      <c r="L74" s="13" t="n"/>
      <c r="M74" s="13" t="n"/>
      <c r="N74" s="13" t="n"/>
      <c r="O74" s="13" t="n"/>
      <c r="P74" s="13" t="n"/>
      <c r="Q74" s="13" t="n"/>
      <c r="R74" s="13" t="n"/>
      <c r="S74" s="13" t="n"/>
      <c r="T74" s="13" t="n"/>
      <c r="U74" s="13" t="n"/>
      <c r="V74" s="13" t="n"/>
      <c r="W74" s="13" t="n"/>
      <c r="X74" s="13" t="n"/>
      <c r="Y74" s="12">
        <f>IF(A74="","",COUNTIF(kb_minuta_respuesta!$A$2:$A$2000,A74))</f>
        <v/>
      </c>
      <c r="Z74" s="12">
        <f>IF(A74="","",COUNTIFS(kb_minuta_recomendacion!$A$2:$A$2000,A74,kb_minuta_recomendacion!$C$2:$C$2000,"RECOMENDACION"))</f>
        <v/>
      </c>
      <c r="AA74" s="12">
        <f>IF(A74="","",COUNTIF(kb_minuta_recomendacion!$A$2:$A$2000,A74)-Z74)</f>
        <v/>
      </c>
    </row>
    <row r="75">
      <c r="A75" s="13" t="n"/>
      <c r="B75" s="13" t="n"/>
      <c r="C75" s="13" t="n"/>
      <c r="D75" s="13" t="n"/>
      <c r="E75" s="13" t="n"/>
      <c r="F75" s="14" t="n"/>
      <c r="G75" s="13" t="n"/>
      <c r="H75" s="13" t="n"/>
      <c r="I75" s="13" t="n"/>
      <c r="J75" s="13" t="n"/>
      <c r="K75" s="13" t="n"/>
      <c r="L75" s="13" t="n"/>
      <c r="M75" s="13" t="n"/>
      <c r="N75" s="13" t="n"/>
      <c r="O75" s="13" t="n"/>
      <c r="P75" s="13" t="n"/>
      <c r="Q75" s="13" t="n"/>
      <c r="R75" s="13" t="n"/>
      <c r="S75" s="13" t="n"/>
      <c r="T75" s="13" t="n"/>
      <c r="U75" s="13" t="n"/>
      <c r="V75" s="13" t="n"/>
      <c r="W75" s="13" t="n"/>
      <c r="X75" s="13" t="n"/>
      <c r="Y75" s="12">
        <f>IF(A75="","",COUNTIF(kb_minuta_respuesta!$A$2:$A$2000,A75))</f>
        <v/>
      </c>
      <c r="Z75" s="12">
        <f>IF(A75="","",COUNTIFS(kb_minuta_recomendacion!$A$2:$A$2000,A75,kb_minuta_recomendacion!$C$2:$C$2000,"RECOMENDACION"))</f>
        <v/>
      </c>
      <c r="AA75" s="12">
        <f>IF(A75="","",COUNTIF(kb_minuta_recomendacion!$A$2:$A$2000,A75)-Z75)</f>
        <v/>
      </c>
    </row>
  </sheetData>
  <dataValidations count="7">
    <dataValidation sqref="H2:H2000" showDropDown="0" showInputMessage="0" showErrorMessage="1" allowBlank="1" errorTitle="Valor no válido" error="Elige un valor de la lista (hoja catalogos)." type="list">
      <formula1>catalogos!$A$2:$A$6</formula1>
    </dataValidation>
    <dataValidation sqref="J2:J2000" showDropDown="0" showInputMessage="0" showErrorMessage="1" allowBlank="1" errorTitle="Valor no válido" error="Elige un valor de la lista (hoja catalogos)." type="list">
      <formula1>catalogos!$C$2:$C$16</formula1>
    </dataValidation>
    <dataValidation sqref="M2:M2000" showDropDown="0" showInputMessage="0" showErrorMessage="1" allowBlank="1" errorTitle="Valor no válido" error="Elige un valor de la lista (hoja catalogos)." type="list">
      <formula1>catalogos!$D$2:$D$6</formula1>
    </dataValidation>
    <dataValidation sqref="N2:N2000" showDropDown="0" showInputMessage="0" showErrorMessage="1" allowBlank="1" errorTitle="Valor no válido" error="Elige un valor de la lista (hoja catalogos)." type="list">
      <formula1>catalogos!$E$2:$E$6</formula1>
    </dataValidation>
    <dataValidation sqref="S2:S2000" showDropDown="0" showInputMessage="0" showErrorMessage="1" allowBlank="1" errorTitle="Valor no válido" error="Elige un valor de la lista (hoja catalogos)." type="list">
      <formula1>catalogos!$F$2:$F$5</formula1>
    </dataValidation>
    <dataValidation sqref="V2:V2000" showDropDown="0" showInputMessage="0" showErrorMessage="1" allowBlank="1" errorTitle="Valor no válido" error="Elige un valor de la lista (hoja catalogos)." type="list">
      <formula1>catalogos!$G$2:$G$3</formula1>
    </dataValidation>
    <dataValidation sqref="F2:F2000" showDropDown="0" showInputMessage="0" showErrorMessage="1" allowBlank="1" error="Fecha en formato AAAA-MM-DD" type="date" operator="greaterThan">
      <formula1>DATE(2015,1,1)</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2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1" customWidth="1" min="2" max="2"/>
    <col width="16" customWidth="1" min="3" max="3"/>
    <col width="40" customWidth="1" min="4" max="4"/>
    <col width="12" customWidth="1" min="5" max="5"/>
    <col width="40" customWidth="1" min="6" max="6"/>
    <col width="50" customWidth="1" min="7" max="7"/>
  </cols>
  <sheetData>
    <row r="1" ht="34" customHeight="1">
      <c r="A1" s="9" t="inlineStr">
        <is>
          <t>minuta_id</t>
        </is>
      </c>
      <c r="B1" s="9" t="inlineStr">
        <is>
          <t>pregunta_id</t>
        </is>
      </c>
      <c r="C1" s="9" t="inlineStr">
        <is>
          <t>alcance</t>
        </is>
      </c>
      <c r="D1" s="9" t="inlineStr">
        <is>
          <t>valor</t>
        </is>
      </c>
      <c r="E1" s="9" t="inlineStr">
        <is>
          <t>confianza</t>
        </is>
      </c>
      <c r="F1" s="9" t="inlineStr">
        <is>
          <t>fuente_en_minuta</t>
        </is>
      </c>
      <c r="G1" s="9" t="inlineStr">
        <is>
          <t>texto_pregunta</t>
        </is>
      </c>
    </row>
    <row r="2">
      <c r="A2" s="10" t="inlineStr">
        <is>
          <t>MH-001</t>
        </is>
      </c>
      <c r="B2" s="10" t="inlineStr">
        <is>
          <t>P01</t>
        </is>
      </c>
      <c r="C2" s="10" t="inlineStr"/>
      <c r="D2" s="10" t="inlineStr">
        <is>
          <t>Sicilia</t>
        </is>
      </c>
      <c r="E2" s="10" t="inlineStr">
        <is>
          <t>EXPLICITO</t>
        </is>
      </c>
      <c r="F2" s="10" t="inlineStr">
        <is>
          <t>Título de la minuta</t>
        </is>
      </c>
      <c r="G2" s="12">
        <f>IF(B2="","",IFERROR(INDEX(ref_preguntas!$C$2:$C$200,MATCH(B2,ref_preguntas!$A$2:$A$200,0)),"ID no existe"))</f>
        <v/>
      </c>
    </row>
    <row r="3">
      <c r="A3" s="10" t="inlineStr">
        <is>
          <t>MH-001</t>
        </is>
      </c>
      <c r="B3" s="10" t="inlineStr">
        <is>
          <t>P03</t>
        </is>
      </c>
      <c r="C3" s="10" t="inlineStr"/>
      <c r="D3" s="10" t="inlineStr">
        <is>
          <t>Patio Gastronómico Refugio</t>
        </is>
      </c>
      <c r="E3" s="10" t="inlineStr">
        <is>
          <t>EXPLICITO</t>
        </is>
      </c>
      <c r="F3" s="10" t="inlineStr">
        <is>
          <t>Lugar</t>
        </is>
      </c>
      <c r="G3" s="12">
        <f>IF(B3="","",IFERROR(INDEX(ref_preguntas!$C$2:$C$200,MATCH(B3,ref_preguntas!$A$2:$A$200,0)),"ID no existe"))</f>
        <v/>
      </c>
    </row>
    <row r="4">
      <c r="A4" s="10" t="inlineStr">
        <is>
          <t>MH-001</t>
        </is>
      </c>
      <c r="B4" s="10" t="inlineStr">
        <is>
          <t>P04</t>
        </is>
      </c>
      <c r="C4" s="10" t="inlineStr"/>
      <c r="D4" s="10" t="inlineStr">
        <is>
          <t>Kathy</t>
        </is>
      </c>
      <c r="E4" s="10" t="inlineStr">
        <is>
          <t>EXPLICITO</t>
        </is>
      </c>
      <c r="F4" s="10" t="inlineStr">
        <is>
          <t>Team cliente</t>
        </is>
      </c>
      <c r="G4" s="12">
        <f>IF(B4="","",IFERROR(INDEX(ref_preguntas!$C$2:$C$200,MATCH(B4,ref_preguntas!$A$2:$A$200,0)),"ID no existe"))</f>
        <v/>
      </c>
    </row>
    <row r="5">
      <c r="A5" s="10" t="inlineStr">
        <is>
          <t>MH-001</t>
        </is>
      </c>
      <c r="B5" s="10" t="inlineStr">
        <is>
          <t>P06</t>
        </is>
      </c>
      <c r="C5" s="10" t="inlineStr"/>
      <c r="D5" s="10" t="inlineStr">
        <is>
          <t>2023-10-03</t>
        </is>
      </c>
      <c r="E5" s="10" t="inlineStr">
        <is>
          <t>EXPLICITO</t>
        </is>
      </c>
      <c r="F5" s="10" t="inlineStr">
        <is>
          <t>Fecha y hora</t>
        </is>
      </c>
      <c r="G5" s="12">
        <f>IF(B5="","",IFERROR(INDEX(ref_preguntas!$C$2:$C$200,MATCH(B5,ref_preguntas!$A$2:$A$200,0)),"ID no existe"))</f>
        <v/>
      </c>
    </row>
    <row r="6">
      <c r="A6" s="10" t="inlineStr">
        <is>
          <t>MH-001</t>
        </is>
      </c>
      <c r="B6" s="10" t="inlineStr">
        <is>
          <t>P11</t>
        </is>
      </c>
      <c r="C6" s="10" t="inlineStr"/>
      <c r="D6" s="10" t="inlineStr">
        <is>
          <t>COCINA, TERRAZA</t>
        </is>
      </c>
      <c r="E6" s="10" t="inlineStr">
        <is>
          <t>INFERIDO</t>
        </is>
      </c>
      <c r="F6" s="10" t="inlineStr">
        <is>
          <t>Recomendaciones mencionan cocina y terraza</t>
        </is>
      </c>
      <c r="G6" s="12">
        <f>IF(B6="","",IFERROR(INDEX(ref_preguntas!$C$2:$C$200,MATCH(B6,ref_preguntas!$A$2:$A$200,0)),"ID no existe"))</f>
        <v/>
      </c>
    </row>
    <row r="7">
      <c r="A7" s="10" t="inlineStr">
        <is>
          <t>MH-001</t>
        </is>
      </c>
      <c r="B7" s="10" t="inlineStr">
        <is>
          <t>P38</t>
        </is>
      </c>
      <c r="C7" s="10" t="inlineStr"/>
      <c r="D7" s="10" t="inlineStr">
        <is>
          <t>NO</t>
        </is>
      </c>
      <c r="E7" s="10" t="inlineStr">
        <is>
          <t>INFERIDO</t>
        </is>
      </c>
      <c r="F7" s="10" t="inlineStr">
        <is>
          <t>La impresora de cocina está lejos del punto de red</t>
        </is>
      </c>
      <c r="G7" s="12">
        <f>IF(B7="","",IFERROR(INDEX(ref_preguntas!$C$2:$C$200,MATCH(B7,ref_preguntas!$A$2:$A$200,0)),"ID no existe"))</f>
        <v/>
      </c>
    </row>
    <row r="8">
      <c r="A8" s="10" t="inlineStr">
        <is>
          <t>MH-001</t>
        </is>
      </c>
      <c r="B8" s="10" t="inlineStr">
        <is>
          <t>P50</t>
        </is>
      </c>
      <c r="C8" s="10" t="inlineStr"/>
      <c r="D8" s="10" t="inlineStr">
        <is>
          <t>SI</t>
        </is>
      </c>
      <c r="E8" s="10" t="inlineStr">
        <is>
          <t>EXPLICITO</t>
        </is>
      </c>
      <c r="F8" s="10" t="inlineStr">
        <is>
          <t>Siguientes acciones</t>
        </is>
      </c>
      <c r="G8" s="12">
        <f>IF(B8="","",IFERROR(INDEX(ref_preguntas!$C$2:$C$200,MATCH(B8,ref_preguntas!$A$2:$A$200,0)),"ID no existe"))</f>
        <v/>
      </c>
    </row>
    <row r="9">
      <c r="A9" s="10" t="inlineStr">
        <is>
          <t>MH-001</t>
        </is>
      </c>
      <c r="B9" s="10" t="inlineStr">
        <is>
          <t>P50a</t>
        </is>
      </c>
      <c r="C9" s="10" t="inlineStr"/>
      <c r="D9" s="10" t="inlineStr">
        <is>
          <t>Conexión de impresoras</t>
        </is>
      </c>
      <c r="E9" s="10" t="inlineStr">
        <is>
          <t>EXPLICITO</t>
        </is>
      </c>
      <c r="F9" s="10" t="inlineStr">
        <is>
          <t>Siguientes acciones</t>
        </is>
      </c>
      <c r="G9" s="12">
        <f>IF(B9="","",IFERROR(INDEX(ref_preguntas!$C$2:$C$200,MATCH(B9,ref_preguntas!$A$2:$A$200,0)),"ID no existe"))</f>
        <v/>
      </c>
    </row>
    <row r="10">
      <c r="A10" s="10" t="inlineStr">
        <is>
          <t>MH-001</t>
        </is>
      </c>
      <c r="B10" s="10" t="inlineStr">
        <is>
          <t>P51</t>
        </is>
      </c>
      <c r="C10" s="10" t="inlineStr"/>
      <c r="D10" s="10" t="inlineStr">
        <is>
          <t>ID: Kevin Flores, Yomira Mora · Cliente: Kathy</t>
        </is>
      </c>
      <c r="E10" s="10" t="inlineStr">
        <is>
          <t>EXPLICITO</t>
        </is>
      </c>
      <c r="F10" s="10" t="inlineStr">
        <is>
          <t>Asistentes</t>
        </is>
      </c>
      <c r="G10" s="12">
        <f>IF(B10="","",IFERROR(INDEX(ref_preguntas!$C$2:$C$200,MATCH(B10,ref_preguntas!$A$2:$A$200,0)),"ID no existe"))</f>
        <v/>
      </c>
    </row>
    <row r="11">
      <c r="A11" s="10" t="inlineStr">
        <is>
          <t>MH-001</t>
        </is>
      </c>
      <c r="B11" s="10" t="inlineStr">
        <is>
          <t>P12a</t>
        </is>
      </c>
      <c r="C11" s="10" t="inlineStr"/>
      <c r="D11" s="10" t="inlineStr">
        <is>
          <t>SI</t>
        </is>
      </c>
      <c r="E11" s="10" t="inlineStr">
        <is>
          <t>INFERIDO</t>
        </is>
      </c>
      <c r="F11" s="10" t="inlineStr">
        <is>
          <t>Impresoras en áreas, incluida cocina</t>
        </is>
      </c>
      <c r="G11" s="12">
        <f>IF(B11="","",IFERROR(INDEX(ref_preguntas!$C$2:$C$200,MATCH(B11,ref_preguntas!$A$2:$A$200,0)),"ID no existe"))</f>
        <v/>
      </c>
    </row>
    <row r="12">
      <c r="A12" s="10" t="inlineStr">
        <is>
          <t>MH-001</t>
        </is>
      </c>
      <c r="B12" s="10" t="inlineStr">
        <is>
          <t>P09</t>
        </is>
      </c>
      <c r="C12" s="10" t="inlineStr"/>
      <c r="D12" s="10" t="inlineStr">
        <is>
          <t>RESTAURANTE</t>
        </is>
      </c>
      <c r="E12" s="10" t="inlineStr">
        <is>
          <t>EXPLICITO</t>
        </is>
      </c>
      <c r="F12" s="10" t="inlineStr">
        <is>
          <t>Rubro confirmado por el equipo (2026-10-10)</t>
        </is>
      </c>
      <c r="G12" s="12">
        <f>IF(B12="","",IFERROR(INDEX(ref_preguntas!$C$2:$C$200,MATCH(B12,ref_preguntas!$A$2:$A$200,0)),"ID no existe"))</f>
        <v/>
      </c>
    </row>
    <row r="13">
      <c r="A13" s="10" t="inlineStr">
        <is>
          <t>MH-002</t>
        </is>
      </c>
      <c r="B13" s="10" t="inlineStr">
        <is>
          <t>P01</t>
        </is>
      </c>
      <c r="C13" s="10" t="inlineStr"/>
      <c r="D13" s="10" t="inlineStr">
        <is>
          <t>Don Oscar</t>
        </is>
      </c>
      <c r="E13" s="10" t="inlineStr">
        <is>
          <t>EXPLICITO</t>
        </is>
      </c>
      <c r="F13" s="10" t="inlineStr">
        <is>
          <t>Título de la minuta</t>
        </is>
      </c>
      <c r="G13" s="12">
        <f>IF(B13="","",IFERROR(INDEX(ref_preguntas!$C$2:$C$200,MATCH(B13,ref_preguntas!$A$2:$A$200,0)),"ID no existe"))</f>
        <v/>
      </c>
    </row>
    <row r="14">
      <c r="A14" s="10" t="inlineStr">
        <is>
          <t>MH-002</t>
        </is>
      </c>
      <c r="B14" s="10" t="inlineStr">
        <is>
          <t>P03</t>
        </is>
      </c>
      <c r="C14" s="10" t="inlineStr"/>
      <c r="D14" s="10" t="inlineStr">
        <is>
          <t>Calle Alcanfores 151, Miraflores 15074</t>
        </is>
      </c>
      <c r="E14" s="10" t="inlineStr">
        <is>
          <t>EXPLICITO</t>
        </is>
      </c>
      <c r="F14" s="10" t="inlineStr">
        <is>
          <t>Lugar</t>
        </is>
      </c>
      <c r="G14" s="12">
        <f>IF(B14="","",IFERROR(INDEX(ref_preguntas!$C$2:$C$200,MATCH(B14,ref_preguntas!$A$2:$A$200,0)),"ID no existe"))</f>
        <v/>
      </c>
    </row>
    <row r="15">
      <c r="A15" s="10" t="inlineStr">
        <is>
          <t>MH-002</t>
        </is>
      </c>
      <c r="B15" s="10" t="inlineStr">
        <is>
          <t>P04</t>
        </is>
      </c>
      <c r="C15" s="10" t="inlineStr"/>
      <c r="D15" s="10" t="inlineStr">
        <is>
          <t>Piero</t>
        </is>
      </c>
      <c r="E15" s="10" t="inlineStr">
        <is>
          <t>EXPLICITO</t>
        </is>
      </c>
      <c r="F15" s="10" t="inlineStr">
        <is>
          <t>Team cliente</t>
        </is>
      </c>
      <c r="G15" s="12">
        <f>IF(B15="","",IFERROR(INDEX(ref_preguntas!$C$2:$C$200,MATCH(B15,ref_preguntas!$A$2:$A$200,0)),"ID no existe"))</f>
        <v/>
      </c>
    </row>
    <row r="16">
      <c r="A16" s="10" t="inlineStr">
        <is>
          <t>MH-002</t>
        </is>
      </c>
      <c r="B16" s="10" t="inlineStr">
        <is>
          <t>P06</t>
        </is>
      </c>
      <c r="C16" s="10" t="inlineStr"/>
      <c r="D16" s="10" t="inlineStr">
        <is>
          <t>2023-10-28</t>
        </is>
      </c>
      <c r="E16" s="10" t="inlineStr">
        <is>
          <t>EXPLICITO</t>
        </is>
      </c>
      <c r="F16" s="10" t="inlineStr">
        <is>
          <t>Fecha y hora</t>
        </is>
      </c>
      <c r="G16" s="12">
        <f>IF(B16="","",IFERROR(INDEX(ref_preguntas!$C$2:$C$200,MATCH(B16,ref_preguntas!$A$2:$A$200,0)),"ID no existe"))</f>
        <v/>
      </c>
    </row>
    <row r="17">
      <c r="A17" s="10" t="inlineStr">
        <is>
          <t>MH-002</t>
        </is>
      </c>
      <c r="B17" s="10" t="inlineStr">
        <is>
          <t>P16</t>
        </is>
      </c>
      <c r="C17" s="10" t="inlineStr"/>
      <c r="D17" s="10" t="inlineStr">
        <is>
          <t>SI</t>
        </is>
      </c>
      <c r="E17" s="10" t="inlineStr">
        <is>
          <t>EXPLICITO</t>
        </is>
      </c>
      <c r="F17" s="10" t="inlineStr">
        <is>
          <t>Se configuró TP-Link como redundancia de internet</t>
        </is>
      </c>
      <c r="G17" s="12">
        <f>IF(B17="","",IFERROR(INDEX(ref_preguntas!$C$2:$C$200,MATCH(B17,ref_preguntas!$A$2:$A$200,0)),"ID no existe"))</f>
        <v/>
      </c>
    </row>
    <row r="18">
      <c r="A18" s="10" t="inlineStr">
        <is>
          <t>MH-002</t>
        </is>
      </c>
      <c r="B18" s="10" t="inlineStr">
        <is>
          <t>P34</t>
        </is>
      </c>
      <c r="C18" s="10" t="inlineStr"/>
      <c r="D18" s="10" t="inlineStr">
        <is>
          <t>SI</t>
        </is>
      </c>
      <c r="E18" s="10" t="inlineStr">
        <is>
          <t>INFERIDO</t>
        </is>
      </c>
      <c r="F18" s="10" t="inlineStr">
        <is>
          <t>Recomendación: toma independiente (licuadora)</t>
        </is>
      </c>
      <c r="G18" s="12">
        <f>IF(B18="","",IFERROR(INDEX(ref_preguntas!$C$2:$C$200,MATCH(B18,ref_preguntas!$A$2:$A$200,0)),"ID no existe"))</f>
        <v/>
      </c>
    </row>
    <row r="19">
      <c r="A19" s="10" t="inlineStr">
        <is>
          <t>MH-002</t>
        </is>
      </c>
      <c r="B19" s="10" t="inlineStr">
        <is>
          <t>P39</t>
        </is>
      </c>
      <c r="C19" s="10" t="inlineStr"/>
      <c r="D19" s="10" t="inlineStr">
        <is>
          <t>CAT6_INT</t>
        </is>
      </c>
      <c r="E19" s="10" t="inlineStr">
        <is>
          <t>EXPLICITO</t>
        </is>
      </c>
      <c r="F19" s="10" t="inlineStr">
        <is>
          <t>Se cambiaron los cables a Cat6</t>
        </is>
      </c>
      <c r="G19" s="12">
        <f>IF(B19="","",IFERROR(INDEX(ref_preguntas!$C$2:$C$200,MATCH(B19,ref_preguntas!$A$2:$A$200,0)),"ID no existe"))</f>
        <v/>
      </c>
    </row>
    <row r="20">
      <c r="A20" s="10" t="inlineStr">
        <is>
          <t>MH-002</t>
        </is>
      </c>
      <c r="B20" s="10" t="inlineStr">
        <is>
          <t>P41</t>
        </is>
      </c>
      <c r="C20" s="10" t="inlineStr"/>
      <c r="D20" s="10" t="inlineStr">
        <is>
          <t>SI</t>
        </is>
      </c>
      <c r="E20" s="10" t="inlineStr">
        <is>
          <t>INFERIDO</t>
        </is>
      </c>
      <c r="F20" s="10" t="inlineStr">
        <is>
          <t>Acción del cliente: evitar acumulación de grasa</t>
        </is>
      </c>
      <c r="G20" s="12">
        <f>IF(B20="","",IFERROR(INDEX(ref_preguntas!$C$2:$C$200,MATCH(B20,ref_preguntas!$A$2:$A$200,0)),"ID no existe"))</f>
        <v/>
      </c>
    </row>
    <row r="21">
      <c r="A21" s="10" t="inlineStr">
        <is>
          <t>MH-002</t>
        </is>
      </c>
      <c r="B21" s="10" t="inlineStr">
        <is>
          <t>P51</t>
        </is>
      </c>
      <c r="C21" s="10" t="inlineStr"/>
      <c r="D21" s="10" t="inlineStr">
        <is>
          <t>ID: Yomira Mora · Cliente: Piero</t>
        </is>
      </c>
      <c r="E21" s="10" t="inlineStr">
        <is>
          <t>EXPLICITO</t>
        </is>
      </c>
      <c r="F21" s="10" t="inlineStr">
        <is>
          <t>Asistentes</t>
        </is>
      </c>
      <c r="G21" s="12">
        <f>IF(B21="","",IFERROR(INDEX(ref_preguntas!$C$2:$C$200,MATCH(B21,ref_preguntas!$A$2:$A$200,0)),"ID no existe"))</f>
        <v/>
      </c>
    </row>
    <row r="22">
      <c r="A22" s="10" t="inlineStr">
        <is>
          <t>MH-002</t>
        </is>
      </c>
      <c r="B22" s="10" t="inlineStr">
        <is>
          <t>P09</t>
        </is>
      </c>
      <c r="C22" s="10" t="inlineStr"/>
      <c r="D22" s="10" t="inlineStr">
        <is>
          <t>REST_PESCADOS</t>
        </is>
      </c>
      <c r="E22" s="10" t="inlineStr">
        <is>
          <t>EXPLICITO</t>
        </is>
      </c>
      <c r="F22" s="10" t="inlineStr">
        <is>
          <t>Rubro confirmado por el equipo (2026-10-10)</t>
        </is>
      </c>
      <c r="G22" s="12">
        <f>IF(B22="","",IFERROR(INDEX(ref_preguntas!$C$2:$C$200,MATCH(B22,ref_preguntas!$A$2:$A$200,0)),"ID no existe"))</f>
        <v/>
      </c>
    </row>
    <row r="23">
      <c r="A23" s="10" t="inlineStr">
        <is>
          <t>MH-003</t>
        </is>
      </c>
      <c r="B23" s="10" t="inlineStr">
        <is>
          <t>P01</t>
        </is>
      </c>
      <c r="C23" s="10" t="inlineStr"/>
      <c r="D23" s="10" t="inlineStr">
        <is>
          <t>Barrio Pesquero</t>
        </is>
      </c>
      <c r="E23" s="10" t="inlineStr">
        <is>
          <t>EXPLICITO</t>
        </is>
      </c>
      <c r="F23" s="10" t="inlineStr">
        <is>
          <t>Título de la minuta</t>
        </is>
      </c>
      <c r="G23" s="12">
        <f>IF(B23="","",IFERROR(INDEX(ref_preguntas!$C$2:$C$200,MATCH(B23,ref_preguntas!$A$2:$A$200,0)),"ID no existe"))</f>
        <v/>
      </c>
    </row>
    <row r="24">
      <c r="A24" s="10" t="inlineStr">
        <is>
          <t>MH-003</t>
        </is>
      </c>
      <c r="B24" s="10" t="inlineStr">
        <is>
          <t>P03</t>
        </is>
      </c>
      <c r="C24" s="10" t="inlineStr"/>
      <c r="D24" s="10" t="inlineStr">
        <is>
          <t>Av. Gral. Antonio Álvarez de Arenales 1746, Lince 15073</t>
        </is>
      </c>
      <c r="E24" s="10" t="inlineStr">
        <is>
          <t>EXPLICITO</t>
        </is>
      </c>
      <c r="F24" s="10" t="inlineStr">
        <is>
          <t>Lugar</t>
        </is>
      </c>
      <c r="G24" s="12">
        <f>IF(B24="","",IFERROR(INDEX(ref_preguntas!$C$2:$C$200,MATCH(B24,ref_preguntas!$A$2:$A$200,0)),"ID no existe"))</f>
        <v/>
      </c>
    </row>
    <row r="25">
      <c r="A25" s="10" t="inlineStr">
        <is>
          <t>MH-003</t>
        </is>
      </c>
      <c r="B25" s="10" t="inlineStr">
        <is>
          <t>P04</t>
        </is>
      </c>
      <c r="C25" s="10" t="inlineStr"/>
      <c r="D25" s="10" t="inlineStr">
        <is>
          <t>Giancarlo Sanguinetti</t>
        </is>
      </c>
      <c r="E25" s="10" t="inlineStr">
        <is>
          <t>EXPLICITO</t>
        </is>
      </c>
      <c r="F25" s="10" t="inlineStr">
        <is>
          <t>Team cliente</t>
        </is>
      </c>
      <c r="G25" s="12">
        <f>IF(B25="","",IFERROR(INDEX(ref_preguntas!$C$2:$C$200,MATCH(B25,ref_preguntas!$A$2:$A$200,0)),"ID no existe"))</f>
        <v/>
      </c>
    </row>
    <row r="26">
      <c r="A26" s="10" t="inlineStr">
        <is>
          <t>MH-003</t>
        </is>
      </c>
      <c r="B26" s="10" t="inlineStr">
        <is>
          <t>P06</t>
        </is>
      </c>
      <c r="C26" s="10" t="inlineStr"/>
      <c r="D26" s="10" t="inlineStr">
        <is>
          <t>2023-11-09</t>
        </is>
      </c>
      <c r="E26" s="10" t="inlineStr">
        <is>
          <t>EXPLICITO</t>
        </is>
      </c>
      <c r="F26" s="10" t="inlineStr">
        <is>
          <t>Fecha y hora</t>
        </is>
      </c>
      <c r="G26" s="12">
        <f>IF(B26="","",IFERROR(INDEX(ref_preguntas!$C$2:$C$200,MATCH(B26,ref_preguntas!$A$2:$A$200,0)),"ID no existe"))</f>
        <v/>
      </c>
    </row>
    <row r="27">
      <c r="A27" s="10" t="inlineStr">
        <is>
          <t>MH-003</t>
        </is>
      </c>
      <c r="B27" s="10" t="inlineStr">
        <is>
          <t>P11</t>
        </is>
      </c>
      <c r="C27" s="10" t="inlineStr"/>
      <c r="D27" s="10" t="inlineStr">
        <is>
          <t>BAR, CAJA</t>
        </is>
      </c>
      <c r="E27" s="10" t="inlineStr">
        <is>
          <t>INFERIDO</t>
        </is>
      </c>
      <c r="F27" s="10" t="inlineStr">
        <is>
          <t>Recomendación: switch en barra para impresora de barra y caja</t>
        </is>
      </c>
      <c r="G27" s="12">
        <f>IF(B27="","",IFERROR(INDEX(ref_preguntas!$C$2:$C$200,MATCH(B27,ref_preguntas!$A$2:$A$200,0)),"ID no existe"))</f>
        <v/>
      </c>
    </row>
    <row r="28">
      <c r="A28" s="10" t="inlineStr">
        <is>
          <t>MH-003</t>
        </is>
      </c>
      <c r="B28" s="10" t="inlineStr">
        <is>
          <t>P22</t>
        </is>
      </c>
      <c r="C28" s="10" t="inlineStr">
        <is>
          <t>L_CAJAS:1</t>
        </is>
      </c>
      <c r="D28" s="10" t="inlineStr">
        <is>
          <t>SI</t>
        </is>
      </c>
      <c r="E28" s="10" t="inlineStr">
        <is>
          <t>INFERIDO</t>
        </is>
      </c>
      <c r="F28" s="10" t="inlineStr">
        <is>
          <t>PC con programas de impresión</t>
        </is>
      </c>
      <c r="G28" s="12">
        <f>IF(B28="","",IFERROR(INDEX(ref_preguntas!$C$2:$C$200,MATCH(B28,ref_preguntas!$A$2:$A$200,0)),"ID no existe"))</f>
        <v/>
      </c>
    </row>
    <row r="29">
      <c r="A29" s="10" t="inlineStr">
        <is>
          <t>MH-003</t>
        </is>
      </c>
      <c r="B29" s="10" t="inlineStr">
        <is>
          <t>P23</t>
        </is>
      </c>
      <c r="C29" s="10" t="inlineStr">
        <is>
          <t>L_CAJAS:1</t>
        </is>
      </c>
      <c r="D29" s="10" t="inlineStr">
        <is>
          <t>WIFI</t>
        </is>
      </c>
      <c r="E29" s="10" t="inlineStr">
        <is>
          <t>EXPLICITO</t>
        </is>
      </c>
      <c r="F29" s="10" t="inlineStr">
        <is>
          <t>Desarrollo</t>
        </is>
      </c>
      <c r="G29" s="12">
        <f>IF(B29="","",IFERROR(INDEX(ref_preguntas!$C$2:$C$200,MATCH(B29,ref_preguntas!$A$2:$A$200,0)),"ID no existe"))</f>
        <v/>
      </c>
    </row>
    <row r="30">
      <c r="A30" s="10" t="inlineStr">
        <is>
          <t>MH-003</t>
        </is>
      </c>
      <c r="B30" s="10" t="inlineStr">
        <is>
          <t>P40</t>
        </is>
      </c>
      <c r="C30" s="10" t="inlineStr"/>
      <c r="D30" s="10" t="inlineStr">
        <is>
          <t>DESORDENADO</t>
        </is>
      </c>
      <c r="E30" s="10" t="inlineStr">
        <is>
          <t>EXPLICITO</t>
        </is>
      </c>
      <c r="F30" s="10" t="inlineStr">
        <is>
          <t>Desarrollo</t>
        </is>
      </c>
      <c r="G30" s="12">
        <f>IF(B30="","",IFERROR(INDEX(ref_preguntas!$C$2:$C$200,MATCH(B30,ref_preguntas!$A$2:$A$200,0)),"ID no existe"))</f>
        <v/>
      </c>
    </row>
    <row r="31">
      <c r="A31" s="10" t="inlineStr">
        <is>
          <t>MH-003</t>
        </is>
      </c>
      <c r="B31" s="10" t="inlineStr">
        <is>
          <t>P45</t>
        </is>
      </c>
      <c r="C31" s="10" t="inlineStr"/>
      <c r="D31" s="10" t="inlineStr">
        <is>
          <t>SI</t>
        </is>
      </c>
      <c r="E31" s="10" t="inlineStr">
        <is>
          <t>EXPLICITO</t>
        </is>
      </c>
      <c r="F31" s="10" t="inlineStr">
        <is>
          <t>Desarrollo: repetidores</t>
        </is>
      </c>
      <c r="G31" s="12">
        <f>IF(B31="","",IFERROR(INDEX(ref_preguntas!$C$2:$C$200,MATCH(B31,ref_preguntas!$A$2:$A$200,0)),"ID no existe"))</f>
        <v/>
      </c>
    </row>
    <row r="32">
      <c r="A32" s="10" t="inlineStr">
        <is>
          <t>MH-003</t>
        </is>
      </c>
      <c r="B32" s="10" t="inlineStr">
        <is>
          <t>P51</t>
        </is>
      </c>
      <c r="C32" s="10" t="inlineStr"/>
      <c r="D32" s="10" t="inlineStr">
        <is>
          <t>ID: Yomira Mora · Cliente: Giancarlo Sanguinetti</t>
        </is>
      </c>
      <c r="E32" s="10" t="inlineStr">
        <is>
          <t>EXPLICITO</t>
        </is>
      </c>
      <c r="F32" s="10" t="inlineStr">
        <is>
          <t>Asistentes</t>
        </is>
      </c>
      <c r="G32" s="12">
        <f>IF(B32="","",IFERROR(INDEX(ref_preguntas!$C$2:$C$200,MATCH(B32,ref_preguntas!$A$2:$A$200,0)),"ID no existe"))</f>
        <v/>
      </c>
    </row>
    <row r="33">
      <c r="A33" s="10" t="inlineStr">
        <is>
          <t>MH-003</t>
        </is>
      </c>
      <c r="B33" s="10" t="inlineStr">
        <is>
          <t>P12a</t>
        </is>
      </c>
      <c r="C33" s="10" t="inlineStr"/>
      <c r="D33" s="10" t="inlineStr">
        <is>
          <t>SI</t>
        </is>
      </c>
      <c r="E33" s="10" t="inlineStr">
        <is>
          <t>INFERIDO</t>
        </is>
      </c>
      <c r="F33" s="10" t="inlineStr">
        <is>
          <t>Impresora de barra</t>
        </is>
      </c>
      <c r="G33" s="12">
        <f>IF(B33="","",IFERROR(INDEX(ref_preguntas!$C$2:$C$200,MATCH(B33,ref_preguntas!$A$2:$A$200,0)),"ID no existe"))</f>
        <v/>
      </c>
    </row>
    <row r="34">
      <c r="A34" s="10" t="inlineStr">
        <is>
          <t>MH-003</t>
        </is>
      </c>
      <c r="B34" s="10" t="inlineStr">
        <is>
          <t>P09</t>
        </is>
      </c>
      <c r="C34" s="10" t="inlineStr"/>
      <c r="D34" s="10" t="inlineStr">
        <is>
          <t>REST_PESCADOS</t>
        </is>
      </c>
      <c r="E34" s="10" t="inlineStr">
        <is>
          <t>EXPLICITO</t>
        </is>
      </c>
      <c r="F34" s="10" t="inlineStr">
        <is>
          <t>Rubro confirmado por el equipo (2026-10-10)</t>
        </is>
      </c>
      <c r="G34" s="12">
        <f>IF(B34="","",IFERROR(INDEX(ref_preguntas!$C$2:$C$200,MATCH(B34,ref_preguntas!$A$2:$A$200,0)),"ID no existe"))</f>
        <v/>
      </c>
    </row>
    <row r="35">
      <c r="A35" s="10" t="inlineStr">
        <is>
          <t>MH-004</t>
        </is>
      </c>
      <c r="B35" s="10" t="inlineStr">
        <is>
          <t>P01</t>
        </is>
      </c>
      <c r="C35" s="10" t="inlineStr"/>
      <c r="D35" s="10" t="inlineStr">
        <is>
          <t>Rock &amp; Burgers</t>
        </is>
      </c>
      <c r="E35" s="10" t="inlineStr">
        <is>
          <t>EXPLICITO</t>
        </is>
      </c>
      <c r="F35" s="10" t="inlineStr">
        <is>
          <t>Título de la minuta</t>
        </is>
      </c>
      <c r="G35" s="12">
        <f>IF(B35="","",IFERROR(INDEX(ref_preguntas!$C$2:$C$200,MATCH(B35,ref_preguntas!$A$2:$A$200,0)),"ID no existe"))</f>
        <v/>
      </c>
    </row>
    <row r="36">
      <c r="A36" s="10" t="inlineStr">
        <is>
          <t>MH-004</t>
        </is>
      </c>
      <c r="B36" s="10" t="inlineStr">
        <is>
          <t>P03</t>
        </is>
      </c>
      <c r="C36" s="10" t="inlineStr"/>
      <c r="D36" s="10" t="inlineStr">
        <is>
          <t>C. Luis Colán 242, Huaral 15201</t>
        </is>
      </c>
      <c r="E36" s="10" t="inlineStr">
        <is>
          <t>EXPLICITO</t>
        </is>
      </c>
      <c r="F36" s="10" t="inlineStr">
        <is>
          <t>Dirección</t>
        </is>
      </c>
      <c r="G36" s="12">
        <f>IF(B36="","",IFERROR(INDEX(ref_preguntas!$C$2:$C$200,MATCH(B36,ref_preguntas!$A$2:$A$200,0)),"ID no existe"))</f>
        <v/>
      </c>
    </row>
    <row r="37">
      <c r="A37" s="10" t="inlineStr">
        <is>
          <t>MH-004</t>
        </is>
      </c>
      <c r="B37" s="10" t="inlineStr">
        <is>
          <t>P04</t>
        </is>
      </c>
      <c r="C37" s="10" t="inlineStr"/>
      <c r="D37" s="10" t="inlineStr">
        <is>
          <t>Gianfranco (equipo operativo)</t>
        </is>
      </c>
      <c r="E37" s="10" t="inlineStr">
        <is>
          <t>EXPLICITO</t>
        </is>
      </c>
      <c r="F37" s="10" t="inlineStr">
        <is>
          <t>Team cliente</t>
        </is>
      </c>
      <c r="G37" s="12">
        <f>IF(B37="","",IFERROR(INDEX(ref_preguntas!$C$2:$C$200,MATCH(B37,ref_preguntas!$A$2:$A$200,0)),"ID no existe"))</f>
        <v/>
      </c>
    </row>
    <row r="38">
      <c r="A38" s="10" t="inlineStr">
        <is>
          <t>MH-004</t>
        </is>
      </c>
      <c r="B38" s="10" t="inlineStr">
        <is>
          <t>P06</t>
        </is>
      </c>
      <c r="C38" s="10" t="inlineStr"/>
      <c r="D38" s="10" t="inlineStr">
        <is>
          <t>2026-05-31</t>
        </is>
      </c>
      <c r="E38" s="10" t="inlineStr">
        <is>
          <t>EXPLICITO</t>
        </is>
      </c>
      <c r="F38" s="10" t="inlineStr">
        <is>
          <t>Fecha y hora</t>
        </is>
      </c>
      <c r="G38" s="12">
        <f>IF(B38="","",IFERROR(INDEX(ref_preguntas!$C$2:$C$200,MATCH(B38,ref_preguntas!$A$2:$A$200,0)),"ID no existe"))</f>
        <v/>
      </c>
    </row>
    <row r="39">
      <c r="A39" s="10" t="inlineStr">
        <is>
          <t>MH-004</t>
        </is>
      </c>
      <c r="B39" s="10" t="inlineStr">
        <is>
          <t>P10</t>
        </is>
      </c>
      <c r="C39" s="10" t="inlineStr"/>
      <c r="D39" s="10" t="inlineStr">
        <is>
          <t>3</t>
        </is>
      </c>
      <c r="E39" s="10" t="inlineStr">
        <is>
          <t>EXPLICITO</t>
        </is>
      </c>
      <c r="F39" s="10" t="inlineStr">
        <is>
          <t>Pisos</t>
        </is>
      </c>
      <c r="G39" s="12">
        <f>IF(B39="","",IFERROR(INDEX(ref_preguntas!$C$2:$C$200,MATCH(B39,ref_preguntas!$A$2:$A$200,0)),"ID no existe"))</f>
        <v/>
      </c>
    </row>
    <row r="40">
      <c r="A40" s="10" t="inlineStr">
        <is>
          <t>MH-004</t>
        </is>
      </c>
      <c r="B40" s="10" t="inlineStr">
        <is>
          <t>P11</t>
        </is>
      </c>
      <c r="C40" s="10" t="inlineStr"/>
      <c r="D40" s="10" t="inlineStr">
        <is>
          <t>CAJA, COCINA, SALON_1, SALON_2</t>
        </is>
      </c>
      <c r="E40" s="10" t="inlineStr">
        <is>
          <t>INFERIDO</t>
        </is>
      </c>
      <c r="F40" s="10" t="inlineStr">
        <is>
          <t>Salones en piso 2 y 3, caja y cocina</t>
        </is>
      </c>
      <c r="G40" s="12">
        <f>IF(B40="","",IFERROR(INDEX(ref_preguntas!$C$2:$C$200,MATCH(B40,ref_preguntas!$A$2:$A$200,0)),"ID no existe"))</f>
        <v/>
      </c>
    </row>
    <row r="41">
      <c r="A41" s="10" t="inlineStr">
        <is>
          <t>MH-004</t>
        </is>
      </c>
      <c r="B41" s="10" t="inlineStr">
        <is>
          <t>P13</t>
        </is>
      </c>
      <c r="C41" s="10" t="inlineStr"/>
      <c r="D41" s="10" t="inlineStr">
        <is>
          <t>CLARO</t>
        </is>
      </c>
      <c r="E41" s="10" t="inlineStr">
        <is>
          <t>EXPLICITO</t>
        </is>
      </c>
      <c r="F41" s="10" t="inlineStr">
        <is>
          <t>Proveedor</t>
        </is>
      </c>
      <c r="G41" s="12">
        <f>IF(B41="","",IFERROR(INDEX(ref_preguntas!$C$2:$C$200,MATCH(B41,ref_preguntas!$A$2:$A$200,0)),"ID no existe"))</f>
        <v/>
      </c>
    </row>
    <row r="42">
      <c r="A42" s="10" t="inlineStr">
        <is>
          <t>MH-004</t>
        </is>
      </c>
      <c r="B42" s="10" t="inlineStr">
        <is>
          <t>P14</t>
        </is>
      </c>
      <c r="C42" s="10" t="inlineStr"/>
      <c r="D42" s="10" t="inlineStr">
        <is>
          <t>FIBRA</t>
        </is>
      </c>
      <c r="E42" s="10" t="inlineStr">
        <is>
          <t>EXPLICITO</t>
        </is>
      </c>
      <c r="F42" s="10" t="inlineStr">
        <is>
          <t>Tipo de conexión</t>
        </is>
      </c>
      <c r="G42" s="12">
        <f>IF(B42="","",IFERROR(INDEX(ref_preguntas!$C$2:$C$200,MATCH(B42,ref_preguntas!$A$2:$A$200,0)),"ID no existe"))</f>
        <v/>
      </c>
    </row>
    <row r="43">
      <c r="A43" s="10" t="inlineStr">
        <is>
          <t>MH-004</t>
        </is>
      </c>
      <c r="B43" s="10" t="inlineStr">
        <is>
          <t>P18</t>
        </is>
      </c>
      <c r="C43" s="10" t="inlineStr"/>
      <c r="D43" s="10" t="inlineStr">
        <is>
          <t>CAJA</t>
        </is>
      </c>
      <c r="E43" s="10" t="inlineStr">
        <is>
          <t>EXPLICITO</t>
        </is>
      </c>
      <c r="F43" s="10" t="inlineStr">
        <is>
          <t>Caja y router principal</t>
        </is>
      </c>
      <c r="G43" s="12">
        <f>IF(B43="","",IFERROR(INDEX(ref_preguntas!$C$2:$C$200,MATCH(B43,ref_preguntas!$A$2:$A$200,0)),"ID no existe"))</f>
        <v/>
      </c>
    </row>
    <row r="44">
      <c r="A44" s="10" t="inlineStr">
        <is>
          <t>MH-004</t>
        </is>
      </c>
      <c r="B44" s="10" t="inlineStr">
        <is>
          <t>P22</t>
        </is>
      </c>
      <c r="C44" s="10" t="inlineStr">
        <is>
          <t>L_CAJAS:1</t>
        </is>
      </c>
      <c r="D44" s="10" t="inlineStr">
        <is>
          <t>SI</t>
        </is>
      </c>
      <c r="E44" s="10" t="inlineStr">
        <is>
          <t>EXPLICITO</t>
        </is>
      </c>
      <c r="F44" s="10" t="inlineStr">
        <is>
          <t>Equipos tecnológicos (PC de caja)</t>
        </is>
      </c>
      <c r="G44" s="12">
        <f>IF(B44="","",IFERROR(INDEX(ref_preguntas!$C$2:$C$200,MATCH(B44,ref_preguntas!$A$2:$A$200,0)),"ID no existe"))</f>
        <v/>
      </c>
    </row>
    <row r="45">
      <c r="A45" s="10" t="inlineStr">
        <is>
          <t>MH-004</t>
        </is>
      </c>
      <c r="B45" s="10" t="inlineStr">
        <is>
          <t>P23</t>
        </is>
      </c>
      <c r="C45" s="10" t="inlineStr">
        <is>
          <t>L_CAJAS:1</t>
        </is>
      </c>
      <c r="D45" s="10" t="inlineStr">
        <is>
          <t>WIFI</t>
        </is>
      </c>
      <c r="E45" s="10" t="inlineStr">
        <is>
          <t>EXPLICITO</t>
        </is>
      </c>
      <c r="F45" s="10" t="inlineStr">
        <is>
          <t>Equipos tecnológicos</t>
        </is>
      </c>
      <c r="G45" s="12">
        <f>IF(B45="","",IFERROR(INDEX(ref_preguntas!$C$2:$C$200,MATCH(B45,ref_preguntas!$A$2:$A$200,0)),"ID no existe"))</f>
        <v/>
      </c>
    </row>
    <row r="46">
      <c r="A46" s="10" t="inlineStr">
        <is>
          <t>MH-004</t>
        </is>
      </c>
      <c r="B46" s="10" t="inlineStr">
        <is>
          <t>P26</t>
        </is>
      </c>
      <c r="C46" s="10" t="inlineStr"/>
      <c r="D46" s="10" t="inlineStr">
        <is>
          <t>2</t>
        </is>
      </c>
      <c r="E46" s="10" t="inlineStr">
        <is>
          <t>EXPLICITO</t>
        </is>
      </c>
      <c r="F46" s="10" t="inlineStr">
        <is>
          <t>Impresoras</t>
        </is>
      </c>
      <c r="G46" s="12">
        <f>IF(B46="","",IFERROR(INDEX(ref_preguntas!$C$2:$C$200,MATCH(B46,ref_preguntas!$A$2:$A$200,0)),"ID no existe"))</f>
        <v/>
      </c>
    </row>
    <row r="47">
      <c r="A47" s="10" t="inlineStr">
        <is>
          <t>MH-004</t>
        </is>
      </c>
      <c r="B47" s="10" t="inlineStr">
        <is>
          <t>P27</t>
        </is>
      </c>
      <c r="C47" s="10" t="inlineStr">
        <is>
          <t>L_IMPRESORAS:1</t>
        </is>
      </c>
      <c r="D47" s="10" t="inlineStr">
        <is>
          <t>CAJA</t>
        </is>
      </c>
      <c r="E47" s="10" t="inlineStr">
        <is>
          <t>EXPLICITO</t>
        </is>
      </c>
      <c r="F47" s="10" t="inlineStr">
        <is>
          <t>Impresora de caja (bebidas se preparan en caja)</t>
        </is>
      </c>
      <c r="G47" s="12">
        <f>IF(B47="","",IFERROR(INDEX(ref_preguntas!$C$2:$C$200,MATCH(B47,ref_preguntas!$A$2:$A$200,0)),"ID no existe"))</f>
        <v/>
      </c>
    </row>
    <row r="48">
      <c r="A48" s="10" t="inlineStr">
        <is>
          <t>MH-004</t>
        </is>
      </c>
      <c r="B48" s="10" t="inlineStr">
        <is>
          <t>P30</t>
        </is>
      </c>
      <c r="C48" s="10" t="inlineStr">
        <is>
          <t>L_IMPRESORAS:1</t>
        </is>
      </c>
      <c r="D48" s="10" t="inlineStr">
        <is>
          <t>USB</t>
        </is>
      </c>
      <c r="E48" s="10" t="inlineStr">
        <is>
          <t>EXPLICITO</t>
        </is>
      </c>
      <c r="F48" s="10" t="inlineStr">
        <is>
          <t>Especificaciones de impresoras</t>
        </is>
      </c>
      <c r="G48" s="12">
        <f>IF(B48="","",IFERROR(INDEX(ref_preguntas!$C$2:$C$200,MATCH(B48,ref_preguntas!$A$2:$A$200,0)),"ID no existe"))</f>
        <v/>
      </c>
    </row>
    <row r="49">
      <c r="A49" s="10" t="inlineStr">
        <is>
          <t>MH-004</t>
        </is>
      </c>
      <c r="B49" s="10" t="inlineStr">
        <is>
          <t>P27</t>
        </is>
      </c>
      <c r="C49" s="10" t="inlineStr">
        <is>
          <t>L_IMPRESORAS:2</t>
        </is>
      </c>
      <c r="D49" s="10" t="inlineStr">
        <is>
          <t>COCINA</t>
        </is>
      </c>
      <c r="E49" s="10" t="inlineStr">
        <is>
          <t>EXPLICITO</t>
        </is>
      </c>
      <c r="F49" s="10" t="inlineStr">
        <is>
          <t>Especificaciones de impresoras</t>
        </is>
      </c>
      <c r="G49" s="12">
        <f>IF(B49="","",IFERROR(INDEX(ref_preguntas!$C$2:$C$200,MATCH(B49,ref_preguntas!$A$2:$A$200,0)),"ID no existe"))</f>
        <v/>
      </c>
    </row>
    <row r="50">
      <c r="A50" s="10" t="inlineStr">
        <is>
          <t>MH-004</t>
        </is>
      </c>
      <c r="B50" s="10" t="inlineStr">
        <is>
          <t>P29</t>
        </is>
      </c>
      <c r="C50" s="10" t="inlineStr">
        <is>
          <t>L_IMPRESORAS:2</t>
        </is>
      </c>
      <c r="D50" s="10" t="inlineStr">
        <is>
          <t>OTRO</t>
        </is>
      </c>
      <c r="E50" s="10" t="inlineStr">
        <is>
          <t>EXPLICITO</t>
        </is>
      </c>
      <c r="F50" s="10" t="inlineStr">
        <is>
          <t>Modelo CBX 89E</t>
        </is>
      </c>
      <c r="G50" s="12">
        <f>IF(B50="","",IFERROR(INDEX(ref_preguntas!$C$2:$C$200,MATCH(B50,ref_preguntas!$A$2:$A$200,0)),"ID no existe"))</f>
        <v/>
      </c>
    </row>
    <row r="51">
      <c r="A51" s="10" t="inlineStr">
        <is>
          <t>MH-004</t>
        </is>
      </c>
      <c r="B51" s="10" t="inlineStr">
        <is>
          <t>P30</t>
        </is>
      </c>
      <c r="C51" s="10" t="inlineStr">
        <is>
          <t>L_IMPRESORAS:2</t>
        </is>
      </c>
      <c r="D51" s="10" t="inlineStr">
        <is>
          <t>CABLE_RED</t>
        </is>
      </c>
      <c r="E51" s="10" t="inlineStr">
        <is>
          <t>EXPLICITO</t>
        </is>
      </c>
      <c r="F51" s="10" t="inlineStr">
        <is>
          <t>Especificaciones de impresoras</t>
        </is>
      </c>
      <c r="G51" s="12">
        <f>IF(B51="","",IFERROR(INDEX(ref_preguntas!$C$2:$C$200,MATCH(B51,ref_preguntas!$A$2:$A$200,0)),"ID no existe"))</f>
        <v/>
      </c>
    </row>
    <row r="52">
      <c r="A52" s="10" t="inlineStr">
        <is>
          <t>MH-004</t>
        </is>
      </c>
      <c r="B52" s="10" t="inlineStr">
        <is>
          <t>P45</t>
        </is>
      </c>
      <c r="C52" s="10" t="inlineStr"/>
      <c r="D52" s="10" t="inlineStr">
        <is>
          <t>SI</t>
        </is>
      </c>
      <c r="E52" s="10" t="inlineStr">
        <is>
          <t>EXPLICITO</t>
        </is>
      </c>
      <c r="F52" s="10" t="inlineStr">
        <is>
          <t>2 repetidores</t>
        </is>
      </c>
      <c r="G52" s="12">
        <f>IF(B52="","",IFERROR(INDEX(ref_preguntas!$C$2:$C$200,MATCH(B52,ref_preguntas!$A$2:$A$200,0)),"ID no existe"))</f>
        <v/>
      </c>
    </row>
    <row r="53">
      <c r="A53" s="10" t="inlineStr">
        <is>
          <t>MH-004</t>
        </is>
      </c>
      <c r="B53" s="10" t="inlineStr">
        <is>
          <t>P51</t>
        </is>
      </c>
      <c r="C53" s="10" t="inlineStr"/>
      <c r="D53" s="10" t="inlineStr">
        <is>
          <t>ID: Yomira Mora · Cliente: Gianfranco (equipo operativo)</t>
        </is>
      </c>
      <c r="E53" s="10" t="inlineStr">
        <is>
          <t>EXPLICITO</t>
        </is>
      </c>
      <c r="F53" s="10" t="inlineStr">
        <is>
          <t>Asistentes</t>
        </is>
      </c>
      <c r="G53" s="12">
        <f>IF(B53="","",IFERROR(INDEX(ref_preguntas!$C$2:$C$200,MATCH(B53,ref_preguntas!$A$2:$A$200,0)),"ID no existe"))</f>
        <v/>
      </c>
    </row>
    <row r="54">
      <c r="A54" s="10" t="inlineStr">
        <is>
          <t>MH-004</t>
        </is>
      </c>
      <c r="B54" s="10" t="inlineStr">
        <is>
          <t>P12a</t>
        </is>
      </c>
      <c r="C54" s="10" t="inlineStr"/>
      <c r="D54" s="10" t="inlineStr">
        <is>
          <t>SI</t>
        </is>
      </c>
      <c r="E54" s="10" t="inlineStr">
        <is>
          <t>EXPLICITO</t>
        </is>
      </c>
      <c r="F54" s="10" t="inlineStr">
        <is>
          <t>Pruebas de comandas</t>
        </is>
      </c>
      <c r="G54" s="12">
        <f>IF(B54="","",IFERROR(INDEX(ref_preguntas!$C$2:$C$200,MATCH(B54,ref_preguntas!$A$2:$A$200,0)),"ID no existe"))</f>
        <v/>
      </c>
    </row>
    <row r="55">
      <c r="A55" s="10" t="inlineStr">
        <is>
          <t>MH-004</t>
        </is>
      </c>
      <c r="B55" s="10" t="inlineStr">
        <is>
          <t>P09</t>
        </is>
      </c>
      <c r="C55" s="10" t="inlineStr"/>
      <c r="D55" s="10" t="inlineStr">
        <is>
          <t>FAST_FOOD</t>
        </is>
      </c>
      <c r="E55" s="10" t="inlineStr">
        <is>
          <t>EXPLICITO</t>
        </is>
      </c>
      <c r="F55" s="10" t="inlineStr">
        <is>
          <t>Rubro confirmado por el equipo (2026-10-10)</t>
        </is>
      </c>
      <c r="G55" s="12">
        <f>IF(B55="","",IFERROR(INDEX(ref_preguntas!$C$2:$C$200,MATCH(B55,ref_preguntas!$A$2:$A$200,0)),"ID no existe"))</f>
        <v/>
      </c>
    </row>
    <row r="56">
      <c r="A56" s="10" t="inlineStr">
        <is>
          <t>MH-005</t>
        </is>
      </c>
      <c r="B56" s="10" t="inlineStr">
        <is>
          <t>P01</t>
        </is>
      </c>
      <c r="C56" s="10" t="inlineStr"/>
      <c r="D56" s="10" t="inlineStr">
        <is>
          <t>Dorcher Bier</t>
        </is>
      </c>
      <c r="E56" s="10" t="inlineStr">
        <is>
          <t>EXPLICITO</t>
        </is>
      </c>
      <c r="F56" s="10" t="inlineStr">
        <is>
          <t>Título</t>
        </is>
      </c>
      <c r="G56" s="12">
        <f>IF(B56="","",IFERROR(INDEX(ref_preguntas!$C$2:$C$200,MATCH(B56,ref_preguntas!$A$2:$A$200,0)),"ID no existe"))</f>
        <v/>
      </c>
    </row>
    <row r="57">
      <c r="A57" s="10" t="inlineStr">
        <is>
          <t>MH-005</t>
        </is>
      </c>
      <c r="B57" s="10" t="inlineStr">
        <is>
          <t>P03</t>
        </is>
      </c>
      <c r="C57" s="10" t="inlineStr"/>
      <c r="D57" s="10" t="inlineStr">
        <is>
          <t>Dorcher San Miguel</t>
        </is>
      </c>
      <c r="E57" s="10" t="inlineStr">
        <is>
          <t>EXPLICITO</t>
        </is>
      </c>
      <c r="F57" s="10" t="inlineStr">
        <is>
          <t>Lugar</t>
        </is>
      </c>
      <c r="G57" s="12">
        <f>IF(B57="","",IFERROR(INDEX(ref_preguntas!$C$2:$C$200,MATCH(B57,ref_preguntas!$A$2:$A$200,0)),"ID no existe"))</f>
        <v/>
      </c>
    </row>
    <row r="58">
      <c r="A58" s="10" t="inlineStr">
        <is>
          <t>MH-005</t>
        </is>
      </c>
      <c r="B58" s="10" t="inlineStr">
        <is>
          <t>P04</t>
        </is>
      </c>
      <c r="C58" s="10" t="inlineStr"/>
      <c r="D58" s="10" t="inlineStr">
        <is>
          <t>Karla Sandoval</t>
        </is>
      </c>
      <c r="E58" s="10" t="inlineStr">
        <is>
          <t>EXPLICITO</t>
        </is>
      </c>
      <c r="F58" s="10" t="inlineStr">
        <is>
          <t>Team cliente</t>
        </is>
      </c>
      <c r="G58" s="12">
        <f>IF(B58="","",IFERROR(INDEX(ref_preguntas!$C$2:$C$200,MATCH(B58,ref_preguntas!$A$2:$A$200,0)),"ID no existe"))</f>
        <v/>
      </c>
    </row>
    <row r="59">
      <c r="A59" s="10" t="inlineStr">
        <is>
          <t>MH-005</t>
        </is>
      </c>
      <c r="B59" s="10" t="inlineStr">
        <is>
          <t>P06</t>
        </is>
      </c>
      <c r="C59" s="10" t="inlineStr"/>
      <c r="D59" s="10" t="inlineStr">
        <is>
          <t>2023-04-14</t>
        </is>
      </c>
      <c r="E59" s="10" t="inlineStr">
        <is>
          <t>EXPLICITO</t>
        </is>
      </c>
      <c r="F59" s="10" t="inlineStr">
        <is>
          <t>Fecha y hora</t>
        </is>
      </c>
      <c r="G59" s="12">
        <f>IF(B59="","",IFERROR(INDEX(ref_preguntas!$C$2:$C$200,MATCH(B59,ref_preguntas!$A$2:$A$200,0)),"ID no existe"))</f>
        <v/>
      </c>
    </row>
    <row r="60">
      <c r="A60" s="10" t="inlineStr">
        <is>
          <t>MH-005</t>
        </is>
      </c>
      <c r="B60" s="10" t="inlineStr">
        <is>
          <t>P10</t>
        </is>
      </c>
      <c r="C60" s="10" t="inlineStr"/>
      <c r="D60" s="10" t="inlineStr">
        <is>
          <t>2</t>
        </is>
      </c>
      <c r="E60" s="10" t="inlineStr">
        <is>
          <t>INFERIDO</t>
        </is>
      </c>
      <c r="F60" s="10" t="inlineStr">
        <is>
          <t>Barra 1 y barra 2 (segundo piso)</t>
        </is>
      </c>
      <c r="G60" s="12">
        <f>IF(B60="","",IFERROR(INDEX(ref_preguntas!$C$2:$C$200,MATCH(B60,ref_preguntas!$A$2:$A$200,0)),"ID no existe"))</f>
        <v/>
      </c>
    </row>
    <row r="61">
      <c r="A61" s="10" t="inlineStr">
        <is>
          <t>MH-005</t>
        </is>
      </c>
      <c r="B61" s="10" t="inlineStr">
        <is>
          <t>P11</t>
        </is>
      </c>
      <c r="C61" s="10" t="inlineStr"/>
      <c r="D61" s="10" t="inlineStr">
        <is>
          <t>CAJA, BAR, COCINA</t>
        </is>
      </c>
      <c r="E61" s="10" t="inlineStr">
        <is>
          <t>EXPLICITO</t>
        </is>
      </c>
      <c r="F61" s="10" t="inlineStr">
        <is>
          <t>Desarrollo</t>
        </is>
      </c>
      <c r="G61" s="12">
        <f>IF(B61="","",IFERROR(INDEX(ref_preguntas!$C$2:$C$200,MATCH(B61,ref_preguntas!$A$2:$A$200,0)),"ID no existe"))</f>
        <v/>
      </c>
    </row>
    <row r="62">
      <c r="A62" s="10" t="inlineStr">
        <is>
          <t>MH-005</t>
        </is>
      </c>
      <c r="B62" s="10" t="inlineStr">
        <is>
          <t>P12</t>
        </is>
      </c>
      <c r="C62" s="10" t="inlineStr"/>
      <c r="D62" s="10" t="inlineStr">
        <is>
          <t>3</t>
        </is>
      </c>
      <c r="E62" s="10" t="inlineStr">
        <is>
          <t>EXPLICITO</t>
        </is>
      </c>
      <c r="F62" s="10" t="inlineStr">
        <is>
          <t>PC caja 1, 2 y 3</t>
        </is>
      </c>
      <c r="G62" s="12">
        <f>IF(B62="","",IFERROR(INDEX(ref_preguntas!$C$2:$C$200,MATCH(B62,ref_preguntas!$A$2:$A$200,0)),"ID no existe"))</f>
        <v/>
      </c>
    </row>
    <row r="63">
      <c r="A63" s="10" t="inlineStr">
        <is>
          <t>MH-005</t>
        </is>
      </c>
      <c r="B63" s="10" t="inlineStr">
        <is>
          <t>P13</t>
        </is>
      </c>
      <c r="C63" s="10" t="inlineStr"/>
      <c r="D63" s="10" t="inlineStr">
        <is>
          <t>MOVISTAR</t>
        </is>
      </c>
      <c r="E63" s="10" t="inlineStr">
        <is>
          <t>EXPLICITO</t>
        </is>
      </c>
      <c r="F63" s="10" t="inlineStr">
        <is>
          <t>Equipos pasados a la red Movistar</t>
        </is>
      </c>
      <c r="G63" s="12">
        <f>IF(B63="","",IFERROR(INDEX(ref_preguntas!$C$2:$C$200,MATCH(B63,ref_preguntas!$A$2:$A$200,0)),"ID no existe"))</f>
        <v/>
      </c>
    </row>
    <row r="64">
      <c r="A64" s="10" t="inlineStr">
        <is>
          <t>MH-005</t>
        </is>
      </c>
      <c r="B64" s="10" t="inlineStr">
        <is>
          <t>P51</t>
        </is>
      </c>
      <c r="C64" s="10" t="inlineStr"/>
      <c r="D64" s="10" t="inlineStr">
        <is>
          <t>ID: Arturo Contreras · Cliente: Karla Sandoval</t>
        </is>
      </c>
      <c r="E64" s="10" t="inlineStr">
        <is>
          <t>EXPLICITO</t>
        </is>
      </c>
      <c r="F64" s="10" t="inlineStr">
        <is>
          <t>Asistentes</t>
        </is>
      </c>
      <c r="G64" s="12">
        <f>IF(B64="","",IFERROR(INDEX(ref_preguntas!$C$2:$C$200,MATCH(B64,ref_preguntas!$A$2:$A$200,0)),"ID no existe"))</f>
        <v/>
      </c>
    </row>
    <row r="65">
      <c r="A65" s="10" t="inlineStr">
        <is>
          <t>MH-005</t>
        </is>
      </c>
      <c r="B65" s="10" t="inlineStr">
        <is>
          <t>P12a</t>
        </is>
      </c>
      <c r="C65" s="10" t="inlineStr"/>
      <c r="D65" s="10" t="inlineStr">
        <is>
          <t>SI</t>
        </is>
      </c>
      <c r="E65" s="10" t="inlineStr">
        <is>
          <t>EXPLICITO</t>
        </is>
      </c>
      <c r="F65" s="10" t="inlineStr">
        <is>
          <t>Impresión de comandas</t>
        </is>
      </c>
      <c r="G65" s="12">
        <f>IF(B65="","",IFERROR(INDEX(ref_preguntas!$C$2:$C$200,MATCH(B65,ref_preguntas!$A$2:$A$200,0)),"ID no existe"))</f>
        <v/>
      </c>
    </row>
    <row r="66">
      <c r="A66" s="10" t="inlineStr">
        <is>
          <t>MH-005</t>
        </is>
      </c>
      <c r="B66" s="10" t="inlineStr">
        <is>
          <t>P09</t>
        </is>
      </c>
      <c r="C66" s="10" t="inlineStr"/>
      <c r="D66" s="10" t="inlineStr">
        <is>
          <t>RESTOBAR</t>
        </is>
      </c>
      <c r="E66" s="10" t="inlineStr">
        <is>
          <t>EXPLICITO</t>
        </is>
      </c>
      <c r="F66" s="10" t="inlineStr">
        <is>
          <t>Rubro confirmado por el equipo (2026-10-10)</t>
        </is>
      </c>
      <c r="G66" s="12">
        <f>IF(B66="","",IFERROR(INDEX(ref_preguntas!$C$2:$C$200,MATCH(B66,ref_preguntas!$A$2:$A$200,0)),"ID no existe"))</f>
        <v/>
      </c>
    </row>
    <row r="67">
      <c r="A67" s="10" t="inlineStr">
        <is>
          <t>MH-006</t>
        </is>
      </c>
      <c r="B67" s="10" t="inlineStr">
        <is>
          <t>P01</t>
        </is>
      </c>
      <c r="C67" s="10" t="inlineStr"/>
      <c r="D67" s="10" t="inlineStr">
        <is>
          <t>Dorcher Bier</t>
        </is>
      </c>
      <c r="E67" s="10" t="inlineStr">
        <is>
          <t>EXPLICITO</t>
        </is>
      </c>
      <c r="F67" s="10" t="inlineStr">
        <is>
          <t>Título</t>
        </is>
      </c>
      <c r="G67" s="12">
        <f>IF(B67="","",IFERROR(INDEX(ref_preguntas!$C$2:$C$200,MATCH(B67,ref_preguntas!$A$2:$A$200,0)),"ID no existe"))</f>
        <v/>
      </c>
    </row>
    <row r="68">
      <c r="A68" s="10" t="inlineStr">
        <is>
          <t>MH-006</t>
        </is>
      </c>
      <c r="B68" s="10" t="inlineStr">
        <is>
          <t>P03</t>
        </is>
      </c>
      <c r="C68" s="10" t="inlineStr"/>
      <c r="D68" s="10" t="inlineStr">
        <is>
          <t>Dorcher San Miguel</t>
        </is>
      </c>
      <c r="E68" s="10" t="inlineStr">
        <is>
          <t>EXPLICITO</t>
        </is>
      </c>
      <c r="F68" s="10" t="inlineStr">
        <is>
          <t>Lugar</t>
        </is>
      </c>
      <c r="G68" s="12">
        <f>IF(B68="","",IFERROR(INDEX(ref_preguntas!$C$2:$C$200,MATCH(B68,ref_preguntas!$A$2:$A$200,0)),"ID no existe"))</f>
        <v/>
      </c>
    </row>
    <row r="69">
      <c r="A69" s="10" t="inlineStr">
        <is>
          <t>MH-006</t>
        </is>
      </c>
      <c r="B69" s="10" t="inlineStr">
        <is>
          <t>P06</t>
        </is>
      </c>
      <c r="C69" s="10" t="inlineStr"/>
      <c r="D69" s="10" t="inlineStr">
        <is>
          <t>2023-05-27</t>
        </is>
      </c>
      <c r="E69" s="10" t="inlineStr">
        <is>
          <t>EXPLICITO</t>
        </is>
      </c>
      <c r="F69" s="10" t="inlineStr">
        <is>
          <t>Fecha y hora</t>
        </is>
      </c>
      <c r="G69" s="12">
        <f>IF(B69="","",IFERROR(INDEX(ref_preguntas!$C$2:$C$200,MATCH(B69,ref_preguntas!$A$2:$A$200,0)),"ID no existe"))</f>
        <v/>
      </c>
    </row>
    <row r="70">
      <c r="A70" s="10" t="inlineStr">
        <is>
          <t>MH-006</t>
        </is>
      </c>
      <c r="B70" s="10" t="inlineStr">
        <is>
          <t>P10</t>
        </is>
      </c>
      <c r="C70" s="10" t="inlineStr"/>
      <c r="D70" s="10" t="inlineStr">
        <is>
          <t>2</t>
        </is>
      </c>
      <c r="E70" s="10" t="inlineStr">
        <is>
          <t>EXPLICITO</t>
        </is>
      </c>
      <c r="F70" s="10" t="inlineStr">
        <is>
          <t>Segundo piso</t>
        </is>
      </c>
      <c r="G70" s="12">
        <f>IF(B70="","",IFERROR(INDEX(ref_preguntas!$C$2:$C$200,MATCH(B70,ref_preguntas!$A$2:$A$200,0)),"ID no existe"))</f>
        <v/>
      </c>
    </row>
    <row r="71">
      <c r="A71" s="10" t="inlineStr">
        <is>
          <t>MH-006</t>
        </is>
      </c>
      <c r="B71" s="10" t="inlineStr">
        <is>
          <t>P11</t>
        </is>
      </c>
      <c r="C71" s="10" t="inlineStr"/>
      <c r="D71" s="10" t="inlineStr">
        <is>
          <t>CAJA, BAR, COCINA</t>
        </is>
      </c>
      <c r="E71" s="10" t="inlineStr">
        <is>
          <t>EXPLICITO</t>
        </is>
      </c>
      <c r="F71" s="10" t="inlineStr">
        <is>
          <t>Desarrollo</t>
        </is>
      </c>
      <c r="G71" s="12">
        <f>IF(B71="","",IFERROR(INDEX(ref_preguntas!$C$2:$C$200,MATCH(B71,ref_preguntas!$A$2:$A$200,0)),"ID no existe"))</f>
        <v/>
      </c>
    </row>
    <row r="72">
      <c r="A72" s="10" t="inlineStr">
        <is>
          <t>MH-006</t>
        </is>
      </c>
      <c r="B72" s="10" t="inlineStr">
        <is>
          <t>P12</t>
        </is>
      </c>
      <c r="C72" s="10" t="inlineStr"/>
      <c r="D72" s="10" t="inlineStr">
        <is>
          <t>3</t>
        </is>
      </c>
      <c r="E72" s="10" t="inlineStr">
        <is>
          <t>EXPLICITO</t>
        </is>
      </c>
      <c r="F72" s="10" t="inlineStr">
        <is>
          <t>Caja 1, 2 y 3</t>
        </is>
      </c>
      <c r="G72" s="12">
        <f>IF(B72="","",IFERROR(INDEX(ref_preguntas!$C$2:$C$200,MATCH(B72,ref_preguntas!$A$2:$A$200,0)),"ID no existe"))</f>
        <v/>
      </c>
    </row>
    <row r="73">
      <c r="A73" s="10" t="inlineStr">
        <is>
          <t>MH-006</t>
        </is>
      </c>
      <c r="B73" s="10" t="inlineStr">
        <is>
          <t>P13</t>
        </is>
      </c>
      <c r="C73" s="10" t="inlineStr"/>
      <c r="D73" s="10" t="inlineStr">
        <is>
          <t>CLARO</t>
        </is>
      </c>
      <c r="E73" s="10" t="inlineStr">
        <is>
          <t>EXPLICITO</t>
        </is>
      </c>
      <c r="F73" s="10" t="inlineStr">
        <is>
          <t>Todos los equipos en la red Claro</t>
        </is>
      </c>
      <c r="G73" s="12">
        <f>IF(B73="","",IFERROR(INDEX(ref_preguntas!$C$2:$C$200,MATCH(B73,ref_preguntas!$A$2:$A$200,0)),"ID no existe"))</f>
        <v/>
      </c>
    </row>
    <row r="74">
      <c r="A74" s="10" t="inlineStr">
        <is>
          <t>MH-006</t>
        </is>
      </c>
      <c r="B74" s="10" t="inlineStr">
        <is>
          <t>P26</t>
        </is>
      </c>
      <c r="C74" s="10" t="inlineStr"/>
      <c r="D74" s="10" t="inlineStr">
        <is>
          <t>6</t>
        </is>
      </c>
      <c r="E74" s="10" t="inlineStr">
        <is>
          <t>EXPLICITO</t>
        </is>
      </c>
      <c r="F74" s="10" t="inlineStr">
        <is>
          <t>Pruebas de impresión</t>
        </is>
      </c>
      <c r="G74" s="12">
        <f>IF(B74="","",IFERROR(INDEX(ref_preguntas!$C$2:$C$200,MATCH(B74,ref_preguntas!$A$2:$A$200,0)),"ID no existe"))</f>
        <v/>
      </c>
    </row>
    <row r="75">
      <c r="A75" s="10" t="inlineStr">
        <is>
          <t>MH-006</t>
        </is>
      </c>
      <c r="B75" s="10" t="inlineStr">
        <is>
          <t>P51</t>
        </is>
      </c>
      <c r="C75" s="10" t="inlineStr"/>
      <c r="D75" s="10" t="inlineStr">
        <is>
          <t>ID: Arturo Contreras</t>
        </is>
      </c>
      <c r="E75" s="10" t="inlineStr">
        <is>
          <t>EXPLICITO</t>
        </is>
      </c>
      <c r="F75" s="10" t="inlineStr">
        <is>
          <t>Asistentes</t>
        </is>
      </c>
      <c r="G75" s="12">
        <f>IF(B75="","",IFERROR(INDEX(ref_preguntas!$C$2:$C$200,MATCH(B75,ref_preguntas!$A$2:$A$200,0)),"ID no existe"))</f>
        <v/>
      </c>
    </row>
    <row r="76">
      <c r="A76" s="10" t="inlineStr">
        <is>
          <t>MH-006</t>
        </is>
      </c>
      <c r="B76" s="10" t="inlineStr">
        <is>
          <t>P12a</t>
        </is>
      </c>
      <c r="C76" s="10" t="inlineStr"/>
      <c r="D76" s="10" t="inlineStr">
        <is>
          <t>SI</t>
        </is>
      </c>
      <c r="E76" s="10" t="inlineStr">
        <is>
          <t>EXPLICITO</t>
        </is>
      </c>
      <c r="F76" s="10" t="inlineStr">
        <is>
          <t>Impresión de comandas</t>
        </is>
      </c>
      <c r="G76" s="12">
        <f>IF(B76="","",IFERROR(INDEX(ref_preguntas!$C$2:$C$200,MATCH(B76,ref_preguntas!$A$2:$A$200,0)),"ID no existe"))</f>
        <v/>
      </c>
    </row>
    <row r="77">
      <c r="A77" s="10" t="inlineStr">
        <is>
          <t>MH-006</t>
        </is>
      </c>
      <c r="B77" s="10" t="inlineStr">
        <is>
          <t>P09</t>
        </is>
      </c>
      <c r="C77" s="10" t="inlineStr"/>
      <c r="D77" s="10" t="inlineStr">
        <is>
          <t>RESTOBAR</t>
        </is>
      </c>
      <c r="E77" s="10" t="inlineStr">
        <is>
          <t>EXPLICITO</t>
        </is>
      </c>
      <c r="F77" s="10" t="inlineStr">
        <is>
          <t>Rubro confirmado por el equipo (2026-10-10)</t>
        </is>
      </c>
      <c r="G77" s="12">
        <f>IF(B77="","",IFERROR(INDEX(ref_preguntas!$C$2:$C$200,MATCH(B77,ref_preguntas!$A$2:$A$200,0)),"ID no existe"))</f>
        <v/>
      </c>
    </row>
    <row r="78">
      <c r="A78" s="10" t="inlineStr">
        <is>
          <t>MH-007</t>
        </is>
      </c>
      <c r="B78" s="10" t="inlineStr">
        <is>
          <t>P01</t>
        </is>
      </c>
      <c r="C78" s="10" t="inlineStr"/>
      <c r="D78" s="10" t="inlineStr">
        <is>
          <t>Malala</t>
        </is>
      </c>
      <c r="E78" s="10" t="inlineStr">
        <is>
          <t>EXPLICITO</t>
        </is>
      </c>
      <c r="F78" s="10" t="inlineStr">
        <is>
          <t>Título</t>
        </is>
      </c>
      <c r="G78" s="12">
        <f>IF(B78="","",IFERROR(INDEX(ref_preguntas!$C$2:$C$200,MATCH(B78,ref_preguntas!$A$2:$A$200,0)),"ID no existe"))</f>
        <v/>
      </c>
    </row>
    <row r="79">
      <c r="A79" s="10" t="inlineStr">
        <is>
          <t>MH-007</t>
        </is>
      </c>
      <c r="B79" s="10" t="inlineStr">
        <is>
          <t>P03</t>
        </is>
      </c>
      <c r="C79" s="10" t="inlineStr"/>
      <c r="D79" s="10" t="inlineStr">
        <is>
          <t>Calle Alcanfores 151, Miraflores 15074</t>
        </is>
      </c>
      <c r="E79" s="10" t="inlineStr">
        <is>
          <t>EXPLICITO</t>
        </is>
      </c>
      <c r="F79" s="10" t="inlineStr">
        <is>
          <t>Lugar</t>
        </is>
      </c>
      <c r="G79" s="12">
        <f>IF(B79="","",IFERROR(INDEX(ref_preguntas!$C$2:$C$200,MATCH(B79,ref_preguntas!$A$2:$A$200,0)),"ID no existe"))</f>
        <v/>
      </c>
    </row>
    <row r="80">
      <c r="A80" s="10" t="inlineStr">
        <is>
          <t>MH-007</t>
        </is>
      </c>
      <c r="B80" s="10" t="inlineStr">
        <is>
          <t>P04</t>
        </is>
      </c>
      <c r="C80" s="10" t="inlineStr"/>
      <c r="D80" s="10" t="inlineStr">
        <is>
          <t>Marina</t>
        </is>
      </c>
      <c r="E80" s="10" t="inlineStr">
        <is>
          <t>EXPLICITO</t>
        </is>
      </c>
      <c r="F80" s="10" t="inlineStr">
        <is>
          <t>Team cliente</t>
        </is>
      </c>
      <c r="G80" s="12">
        <f>IF(B80="","",IFERROR(INDEX(ref_preguntas!$C$2:$C$200,MATCH(B80,ref_preguntas!$A$2:$A$200,0)),"ID no existe"))</f>
        <v/>
      </c>
    </row>
    <row r="81">
      <c r="A81" s="10" t="inlineStr">
        <is>
          <t>MH-007</t>
        </is>
      </c>
      <c r="B81" s="10" t="inlineStr">
        <is>
          <t>P06</t>
        </is>
      </c>
      <c r="C81" s="10" t="inlineStr"/>
      <c r="D81" s="10" t="inlineStr">
        <is>
          <t>2023-10-31</t>
        </is>
      </c>
      <c r="E81" s="10" t="inlineStr">
        <is>
          <t>EXPLICITO</t>
        </is>
      </c>
      <c r="F81" s="10" t="inlineStr">
        <is>
          <t>Fecha y hora</t>
        </is>
      </c>
      <c r="G81" s="12">
        <f>IF(B81="","",IFERROR(INDEX(ref_preguntas!$C$2:$C$200,MATCH(B81,ref_preguntas!$A$2:$A$200,0)),"ID no existe"))</f>
        <v/>
      </c>
    </row>
    <row r="82">
      <c r="A82" s="10" t="inlineStr">
        <is>
          <t>MH-007</t>
        </is>
      </c>
      <c r="B82" s="10" t="inlineStr">
        <is>
          <t>P10</t>
        </is>
      </c>
      <c r="C82" s="10" t="inlineStr"/>
      <c r="D82" s="10" t="inlineStr">
        <is>
          <t>2</t>
        </is>
      </c>
      <c r="E82" s="10" t="inlineStr">
        <is>
          <t>EXPLICITO</t>
        </is>
      </c>
      <c r="F82" s="10" t="inlineStr">
        <is>
          <t>Caja primer y segundo piso</t>
        </is>
      </c>
      <c r="G82" s="12">
        <f>IF(B82="","",IFERROR(INDEX(ref_preguntas!$C$2:$C$200,MATCH(B82,ref_preguntas!$A$2:$A$200,0)),"ID no existe"))</f>
        <v/>
      </c>
    </row>
    <row r="83">
      <c r="A83" s="10" t="inlineStr">
        <is>
          <t>MH-007</t>
        </is>
      </c>
      <c r="B83" s="10" t="inlineStr">
        <is>
          <t>P11</t>
        </is>
      </c>
      <c r="C83" s="10" t="inlineStr"/>
      <c r="D83" s="10" t="inlineStr">
        <is>
          <t>COCINA, BAR, CAJA</t>
        </is>
      </c>
      <c r="E83" s="10" t="inlineStr">
        <is>
          <t>EXPLICITO</t>
        </is>
      </c>
      <c r="F83" s="10" t="inlineStr">
        <is>
          <t>Cocina, barras y cajas</t>
        </is>
      </c>
      <c r="G83" s="12">
        <f>IF(B83="","",IFERROR(INDEX(ref_preguntas!$C$2:$C$200,MATCH(B83,ref_preguntas!$A$2:$A$200,0)),"ID no existe"))</f>
        <v/>
      </c>
    </row>
    <row r="84">
      <c r="A84" s="10" t="inlineStr">
        <is>
          <t>MH-007</t>
        </is>
      </c>
      <c r="B84" s="10" t="inlineStr">
        <is>
          <t>P14</t>
        </is>
      </c>
      <c r="C84" s="10" t="inlineStr"/>
      <c r="D84" s="10" t="inlineStr">
        <is>
          <t>NO_TIENE</t>
        </is>
      </c>
      <c r="E84" s="10" t="inlineStr">
        <is>
          <t>EXPLICITO</t>
        </is>
      </c>
      <c r="F84" s="10" t="inlineStr">
        <is>
          <t>Local sin conexión a internet</t>
        </is>
      </c>
      <c r="G84" s="12">
        <f>IF(B84="","",IFERROR(INDEX(ref_preguntas!$C$2:$C$200,MATCH(B84,ref_preguntas!$A$2:$A$200,0)),"ID no existe"))</f>
        <v/>
      </c>
    </row>
    <row r="85">
      <c r="A85" s="10" t="inlineStr">
        <is>
          <t>MH-007</t>
        </is>
      </c>
      <c r="B85" s="10" t="inlineStr">
        <is>
          <t>P16</t>
        </is>
      </c>
      <c r="C85" s="10" t="inlineStr"/>
      <c r="D85" s="10" t="inlineStr">
        <is>
          <t>SI</t>
        </is>
      </c>
      <c r="E85" s="10" t="inlineStr">
        <is>
          <t>EXPLICITO</t>
        </is>
      </c>
      <c r="F85" s="10" t="inlineStr">
        <is>
          <t>TP-Link 4G de respaldo</t>
        </is>
      </c>
      <c r="G85" s="12">
        <f>IF(B85="","",IFERROR(INDEX(ref_preguntas!$C$2:$C$200,MATCH(B85,ref_preguntas!$A$2:$A$200,0)),"ID no existe"))</f>
        <v/>
      </c>
    </row>
    <row r="86">
      <c r="A86" s="10" t="inlineStr">
        <is>
          <t>MH-007</t>
        </is>
      </c>
      <c r="B86" s="10" t="inlineStr">
        <is>
          <t>P17</t>
        </is>
      </c>
      <c r="C86" s="10" t="inlineStr"/>
      <c r="D86" s="10" t="inlineStr">
        <is>
          <t>SI</t>
        </is>
      </c>
      <c r="E86" s="10" t="inlineStr">
        <is>
          <t>EXPLICITO</t>
        </is>
      </c>
      <c r="F86" s="10" t="inlineStr">
        <is>
          <t>El proveedor suele tener caídas</t>
        </is>
      </c>
      <c r="G86" s="12">
        <f>IF(B86="","",IFERROR(INDEX(ref_preguntas!$C$2:$C$200,MATCH(B86,ref_preguntas!$A$2:$A$200,0)),"ID no existe"))</f>
        <v/>
      </c>
    </row>
    <row r="87">
      <c r="A87" s="10" t="inlineStr">
        <is>
          <t>MH-007</t>
        </is>
      </c>
      <c r="B87" s="10" t="inlineStr">
        <is>
          <t>P50</t>
        </is>
      </c>
      <c r="C87" s="10" t="inlineStr"/>
      <c r="D87" s="10" t="inlineStr">
        <is>
          <t>SI</t>
        </is>
      </c>
      <c r="E87" s="10" t="inlineStr">
        <is>
          <t>EXPLICITO</t>
        </is>
      </c>
      <c r="F87" s="10" t="inlineStr">
        <is>
          <t>Siguientes acciones</t>
        </is>
      </c>
      <c r="G87" s="12">
        <f>IF(B87="","",IFERROR(INDEX(ref_preguntas!$C$2:$C$200,MATCH(B87,ref_preguntas!$A$2:$A$200,0)),"ID no existe"))</f>
        <v/>
      </c>
    </row>
    <row r="88">
      <c r="A88" s="10" t="inlineStr">
        <is>
          <t>MH-007</t>
        </is>
      </c>
      <c r="B88" s="10" t="inlineStr">
        <is>
          <t>P50a</t>
        </is>
      </c>
      <c r="C88" s="10" t="inlineStr"/>
      <c r="D88" s="10" t="inlineStr">
        <is>
          <t>Instalación del switch de 5 puertos</t>
        </is>
      </c>
      <c r="E88" s="10" t="inlineStr">
        <is>
          <t>EXPLICITO</t>
        </is>
      </c>
      <c r="F88" s="10" t="inlineStr">
        <is>
          <t>Siguientes acciones</t>
        </is>
      </c>
      <c r="G88" s="12">
        <f>IF(B88="","",IFERROR(INDEX(ref_preguntas!$C$2:$C$200,MATCH(B88,ref_preguntas!$A$2:$A$200,0)),"ID no existe"))</f>
        <v/>
      </c>
    </row>
    <row r="89">
      <c r="A89" s="10" t="inlineStr">
        <is>
          <t>MH-007</t>
        </is>
      </c>
      <c r="B89" s="10" t="inlineStr">
        <is>
          <t>P51</t>
        </is>
      </c>
      <c r="C89" s="10" t="inlineStr"/>
      <c r="D89" s="10" t="inlineStr">
        <is>
          <t>ID: Yomira Mora · Cliente: Marina</t>
        </is>
      </c>
      <c r="E89" s="10" t="inlineStr">
        <is>
          <t>EXPLICITO</t>
        </is>
      </c>
      <c r="F89" s="10" t="inlineStr">
        <is>
          <t>Asistentes</t>
        </is>
      </c>
      <c r="G89" s="12">
        <f>IF(B89="","",IFERROR(INDEX(ref_preguntas!$C$2:$C$200,MATCH(B89,ref_preguntas!$A$2:$A$200,0)),"ID no existe"))</f>
        <v/>
      </c>
    </row>
    <row r="90">
      <c r="A90" s="10" t="inlineStr">
        <is>
          <t>MH-007</t>
        </is>
      </c>
      <c r="B90" s="10" t="inlineStr">
        <is>
          <t>P12a</t>
        </is>
      </c>
      <c r="C90" s="10" t="inlineStr"/>
      <c r="D90" s="10" t="inlineStr">
        <is>
          <t>SI</t>
        </is>
      </c>
      <c r="E90" s="10" t="inlineStr">
        <is>
          <t>INFERIDO</t>
        </is>
      </c>
      <c r="F90" s="10" t="inlineStr">
        <is>
          <t>Áreas de preparación; comandas desde el monitor Summi</t>
        </is>
      </c>
      <c r="G90" s="12">
        <f>IF(B90="","",IFERROR(INDEX(ref_preguntas!$C$2:$C$200,MATCH(B90,ref_preguntas!$A$2:$A$200,0)),"ID no existe"))</f>
        <v/>
      </c>
    </row>
    <row r="91">
      <c r="A91" s="10" t="inlineStr">
        <is>
          <t>MH-007</t>
        </is>
      </c>
      <c r="B91" s="10" t="inlineStr">
        <is>
          <t>P09</t>
        </is>
      </c>
      <c r="C91" s="10" t="inlineStr"/>
      <c r="D91" s="10" t="inlineStr">
        <is>
          <t>RESTOBAR</t>
        </is>
      </c>
      <c r="E91" s="10" t="inlineStr">
        <is>
          <t>EXPLICITO</t>
        </is>
      </c>
      <c r="F91" s="10" t="inlineStr">
        <is>
          <t>Rubro confirmado por el equipo (2026-10-10)</t>
        </is>
      </c>
      <c r="G91" s="12">
        <f>IF(B91="","",IFERROR(INDEX(ref_preguntas!$C$2:$C$200,MATCH(B91,ref_preguntas!$A$2:$A$200,0)),"ID no existe"))</f>
        <v/>
      </c>
    </row>
    <row r="92">
      <c r="A92" s="10" t="inlineStr">
        <is>
          <t>MH-008</t>
        </is>
      </c>
      <c r="B92" s="10" t="inlineStr">
        <is>
          <t>P01</t>
        </is>
      </c>
      <c r="C92" s="10" t="inlineStr"/>
      <c r="D92" s="10" t="inlineStr">
        <is>
          <t>Hotel La Confianza</t>
        </is>
      </c>
      <c r="E92" s="10" t="inlineStr">
        <is>
          <t>EXPLICITO</t>
        </is>
      </c>
      <c r="F92" s="10" t="inlineStr">
        <is>
          <t>Título</t>
        </is>
      </c>
      <c r="G92" s="12">
        <f>IF(B92="","",IFERROR(INDEX(ref_preguntas!$C$2:$C$200,MATCH(B92,ref_preguntas!$A$2:$A$200,0)),"ID no existe"))</f>
        <v/>
      </c>
    </row>
    <row r="93">
      <c r="A93" s="10" t="inlineStr">
        <is>
          <t>MH-008</t>
        </is>
      </c>
      <c r="B93" s="10" t="inlineStr">
        <is>
          <t>P03</t>
        </is>
      </c>
      <c r="C93" s="10" t="inlineStr"/>
      <c r="D93" s="10" t="inlineStr">
        <is>
          <t>Catapalla, Lunahuaná 15727</t>
        </is>
      </c>
      <c r="E93" s="10" t="inlineStr">
        <is>
          <t>EXPLICITO</t>
        </is>
      </c>
      <c r="F93" s="10" t="inlineStr">
        <is>
          <t>Lugar</t>
        </is>
      </c>
      <c r="G93" s="12">
        <f>IF(B93="","",IFERROR(INDEX(ref_preguntas!$C$2:$C$200,MATCH(B93,ref_preguntas!$A$2:$A$200,0)),"ID no existe"))</f>
        <v/>
      </c>
    </row>
    <row r="94">
      <c r="A94" s="10" t="inlineStr">
        <is>
          <t>MH-008</t>
        </is>
      </c>
      <c r="B94" s="10" t="inlineStr">
        <is>
          <t>P04</t>
        </is>
      </c>
      <c r="C94" s="10" t="inlineStr"/>
      <c r="D94" s="10" t="inlineStr">
        <is>
          <t>Caleb</t>
        </is>
      </c>
      <c r="E94" s="10" t="inlineStr">
        <is>
          <t>EXPLICITO</t>
        </is>
      </c>
      <c r="F94" s="10" t="inlineStr">
        <is>
          <t>Team cliente</t>
        </is>
      </c>
      <c r="G94" s="12">
        <f>IF(B94="","",IFERROR(INDEX(ref_preguntas!$C$2:$C$200,MATCH(B94,ref_preguntas!$A$2:$A$200,0)),"ID no existe"))</f>
        <v/>
      </c>
    </row>
    <row r="95">
      <c r="A95" s="10" t="inlineStr">
        <is>
          <t>MH-008</t>
        </is>
      </c>
      <c r="B95" s="10" t="inlineStr">
        <is>
          <t>P06</t>
        </is>
      </c>
      <c r="C95" s="10" t="inlineStr"/>
      <c r="D95" s="10" t="inlineStr">
        <is>
          <t>2023-11-02</t>
        </is>
      </c>
      <c r="E95" s="10" t="inlineStr">
        <is>
          <t>EXPLICITO</t>
        </is>
      </c>
      <c r="F95" s="10" t="inlineStr">
        <is>
          <t>Fecha y hora</t>
        </is>
      </c>
      <c r="G95" s="12">
        <f>IF(B95="","",IFERROR(INDEX(ref_preguntas!$C$2:$C$200,MATCH(B95,ref_preguntas!$A$2:$A$200,0)),"ID no existe"))</f>
        <v/>
      </c>
    </row>
    <row r="96">
      <c r="A96" s="10" t="inlineStr">
        <is>
          <t>MH-008</t>
        </is>
      </c>
      <c r="B96" s="10" t="inlineStr">
        <is>
          <t>P13</t>
        </is>
      </c>
      <c r="C96" s="10" t="inlineStr"/>
      <c r="D96" s="10" t="inlineStr">
        <is>
          <t>OTRO</t>
        </is>
      </c>
      <c r="E96" s="10" t="inlineStr">
        <is>
          <t>EXPLICITO</t>
        </is>
      </c>
      <c r="F96" s="10" t="inlineStr">
        <is>
          <t>Hughesnet</t>
        </is>
      </c>
      <c r="G96" s="12">
        <f>IF(B96="","",IFERROR(INDEX(ref_preguntas!$C$2:$C$200,MATCH(B96,ref_preguntas!$A$2:$A$200,0)),"ID no existe"))</f>
        <v/>
      </c>
    </row>
    <row r="97">
      <c r="A97" s="10" t="inlineStr">
        <is>
          <t>MH-008</t>
        </is>
      </c>
      <c r="B97" s="10" t="inlineStr">
        <is>
          <t>P15</t>
        </is>
      </c>
      <c r="C97" s="10" t="inlineStr"/>
      <c r="D97" s="10" t="inlineStr">
        <is>
          <t>20</t>
        </is>
      </c>
      <c r="E97" s="10" t="inlineStr">
        <is>
          <t>EXPLICITO</t>
        </is>
      </c>
      <c r="F97" s="10" t="inlineStr">
        <is>
          <t>Plan 20 Mega</t>
        </is>
      </c>
      <c r="G97" s="12">
        <f>IF(B97="","",IFERROR(INDEX(ref_preguntas!$C$2:$C$200,MATCH(B97,ref_preguntas!$A$2:$A$200,0)),"ID no existe"))</f>
        <v/>
      </c>
    </row>
    <row r="98">
      <c r="A98" s="10" t="inlineStr">
        <is>
          <t>MH-008</t>
        </is>
      </c>
      <c r="B98" s="10" t="inlineStr">
        <is>
          <t>P22</t>
        </is>
      </c>
      <c r="C98" s="10" t="inlineStr">
        <is>
          <t>L_CAJAS:1</t>
        </is>
      </c>
      <c r="D98" s="10" t="inlineStr">
        <is>
          <t>SI</t>
        </is>
      </c>
      <c r="E98" s="10" t="inlineStr">
        <is>
          <t>EXPLICITO</t>
        </is>
      </c>
      <c r="F98" s="10" t="inlineStr">
        <is>
          <t>PC de caja</t>
        </is>
      </c>
      <c r="G98" s="12">
        <f>IF(B98="","",IFERROR(INDEX(ref_preguntas!$C$2:$C$200,MATCH(B98,ref_preguntas!$A$2:$A$200,0)),"ID no existe"))</f>
        <v/>
      </c>
    </row>
    <row r="99">
      <c r="A99" s="10" t="inlineStr">
        <is>
          <t>MH-008</t>
        </is>
      </c>
      <c r="B99" s="10" t="inlineStr">
        <is>
          <t>P23</t>
        </is>
      </c>
      <c r="C99" s="10" t="inlineStr">
        <is>
          <t>L_CAJAS:1</t>
        </is>
      </c>
      <c r="D99" s="10" t="inlineStr">
        <is>
          <t>WIFI</t>
        </is>
      </c>
      <c r="E99" s="10" t="inlineStr">
        <is>
          <t>EXPLICITO</t>
        </is>
      </c>
      <c r="F99" s="10" t="inlineStr">
        <is>
          <t>PC conectada vía WiFi</t>
        </is>
      </c>
      <c r="G99" s="12">
        <f>IF(B99="","",IFERROR(INDEX(ref_preguntas!$C$2:$C$200,MATCH(B99,ref_preguntas!$A$2:$A$200,0)),"ID no existe"))</f>
        <v/>
      </c>
    </row>
    <row r="100">
      <c r="A100" s="10" t="inlineStr">
        <is>
          <t>MH-008</t>
        </is>
      </c>
      <c r="B100" s="10" t="inlineStr">
        <is>
          <t>P26</t>
        </is>
      </c>
      <c r="C100" s="10" t="inlineStr"/>
      <c r="D100" s="10" t="inlineStr">
        <is>
          <t>3</t>
        </is>
      </c>
      <c r="E100" s="10" t="inlineStr">
        <is>
          <t>EXPLICITO</t>
        </is>
      </c>
      <c r="F100" s="10" t="inlineStr">
        <is>
          <t>Recepción, Bodegón, Lagar</t>
        </is>
      </c>
      <c r="G100" s="12">
        <f>IF(B100="","",IFERROR(INDEX(ref_preguntas!$C$2:$C$200,MATCH(B100,ref_preguntas!$A$2:$A$200,0)),"ID no existe"))</f>
        <v/>
      </c>
    </row>
    <row r="101">
      <c r="A101" s="10" t="inlineStr">
        <is>
          <t>MH-008</t>
        </is>
      </c>
      <c r="B101" s="10" t="inlineStr">
        <is>
          <t>P51</t>
        </is>
      </c>
      <c r="C101" s="10" t="inlineStr"/>
      <c r="D101" s="10" t="inlineStr">
        <is>
          <t>ID: Yomira Mora, Daphne · Cliente: Caleb</t>
        </is>
      </c>
      <c r="E101" s="10" t="inlineStr">
        <is>
          <t>EXPLICITO</t>
        </is>
      </c>
      <c r="F101" s="10" t="inlineStr">
        <is>
          <t>Asistentes</t>
        </is>
      </c>
      <c r="G101" s="12">
        <f>IF(B101="","",IFERROR(INDEX(ref_preguntas!$C$2:$C$200,MATCH(B101,ref_preguntas!$A$2:$A$200,0)),"ID no existe"))</f>
        <v/>
      </c>
    </row>
    <row r="102">
      <c r="A102" s="10" t="inlineStr">
        <is>
          <t>MH-008</t>
        </is>
      </c>
      <c r="B102" s="10" t="inlineStr">
        <is>
          <t>P12a</t>
        </is>
      </c>
      <c r="C102" s="10" t="inlineStr"/>
      <c r="D102" s="10" t="inlineStr">
        <is>
          <t>SI</t>
        </is>
      </c>
      <c r="E102" s="10" t="inlineStr">
        <is>
          <t>INFERIDO</t>
        </is>
      </c>
      <c r="F102" s="10" t="inlineStr">
        <is>
          <t>Lugares de impresión Bodegón y Lagar</t>
        </is>
      </c>
      <c r="G102" s="12">
        <f>IF(B102="","",IFERROR(INDEX(ref_preguntas!$C$2:$C$200,MATCH(B102,ref_preguntas!$A$2:$A$200,0)),"ID no existe"))</f>
        <v/>
      </c>
    </row>
    <row r="103">
      <c r="A103" s="10" t="inlineStr">
        <is>
          <t>MH-008</t>
        </is>
      </c>
      <c r="B103" s="10" t="inlineStr">
        <is>
          <t>P09</t>
        </is>
      </c>
      <c r="C103" s="10" t="inlineStr"/>
      <c r="D103" s="10" t="inlineStr">
        <is>
          <t>HOSPEDAJE</t>
        </is>
      </c>
      <c r="E103" s="10" t="inlineStr">
        <is>
          <t>EXPLICITO</t>
        </is>
      </c>
      <c r="F103" s="10" t="inlineStr">
        <is>
          <t>Rubro confirmado por el equipo (2026-10-10)</t>
        </is>
      </c>
      <c r="G103" s="12">
        <f>IF(B103="","",IFERROR(INDEX(ref_preguntas!$C$2:$C$200,MATCH(B103,ref_preguntas!$A$2:$A$200,0)),"ID no existe"))</f>
        <v/>
      </c>
    </row>
    <row r="104">
      <c r="A104" s="10" t="inlineStr">
        <is>
          <t>MH-009</t>
        </is>
      </c>
      <c r="B104" s="10" t="inlineStr">
        <is>
          <t>P01</t>
        </is>
      </c>
      <c r="C104" s="10" t="inlineStr"/>
      <c r="D104" s="10" t="inlineStr">
        <is>
          <t>Rikoton</t>
        </is>
      </c>
      <c r="E104" s="10" t="inlineStr">
        <is>
          <t>INFERIDO</t>
        </is>
      </c>
      <c r="F104" s="10" t="inlineStr">
        <is>
          <t>Rikoton (RKT); el nombre comercial aparece en RKT Hacienda</t>
        </is>
      </c>
      <c r="G104" s="12">
        <f>IF(B104="","",IFERROR(INDEX(ref_preguntas!$C$2:$C$200,MATCH(B104,ref_preguntas!$A$2:$A$200,0)),"ID no existe"))</f>
        <v/>
      </c>
    </row>
    <row r="105">
      <c r="A105" s="10" t="inlineStr">
        <is>
          <t>MH-009</t>
        </is>
      </c>
      <c r="B105" s="10" t="inlineStr">
        <is>
          <t>P02</t>
        </is>
      </c>
      <c r="C105" s="10" t="inlineStr"/>
      <c r="D105" s="10" t="inlineStr">
        <is>
          <t>RKT Banchero</t>
        </is>
      </c>
      <c r="E105" s="10" t="inlineStr">
        <is>
          <t>EXPLICITO</t>
        </is>
      </c>
      <c r="F105" s="10" t="inlineStr">
        <is>
          <t>Título</t>
        </is>
      </c>
      <c r="G105" s="12">
        <f>IF(B105="","",IFERROR(INDEX(ref_preguntas!$C$2:$C$200,MATCH(B105,ref_preguntas!$A$2:$A$200,0)),"ID no existe"))</f>
        <v/>
      </c>
    </row>
    <row r="106">
      <c r="A106" s="10" t="inlineStr">
        <is>
          <t>MH-009</t>
        </is>
      </c>
      <c r="B106" s="10" t="inlineStr">
        <is>
          <t>P03</t>
        </is>
      </c>
      <c r="C106" s="10" t="inlineStr"/>
      <c r="D106" s="10" t="inlineStr">
        <is>
          <t>Av. Santa Rosa 468, Urb. Canto Grande, San Juan de Lurigancho</t>
        </is>
      </c>
      <c r="E106" s="10" t="inlineStr">
        <is>
          <t>EXPLICITO</t>
        </is>
      </c>
      <c r="F106" s="10" t="inlineStr">
        <is>
          <t>Dirección</t>
        </is>
      </c>
      <c r="G106" s="12">
        <f>IF(B106="","",IFERROR(INDEX(ref_preguntas!$C$2:$C$200,MATCH(B106,ref_preguntas!$A$2:$A$200,0)),"ID no existe"))</f>
        <v/>
      </c>
    </row>
    <row r="107">
      <c r="A107" s="10" t="inlineStr">
        <is>
          <t>MH-009</t>
        </is>
      </c>
      <c r="B107" s="10" t="inlineStr">
        <is>
          <t>P04</t>
        </is>
      </c>
      <c r="C107" s="10" t="inlineStr"/>
      <c r="D107" s="10" t="inlineStr">
        <is>
          <t>Fernando</t>
        </is>
      </c>
      <c r="E107" s="10" t="inlineStr">
        <is>
          <t>EXPLICITO</t>
        </is>
      </c>
      <c r="F107" s="10" t="inlineStr">
        <is>
          <t>Team cliente</t>
        </is>
      </c>
      <c r="G107" s="12">
        <f>IF(B107="","",IFERROR(INDEX(ref_preguntas!$C$2:$C$200,MATCH(B107,ref_preguntas!$A$2:$A$200,0)),"ID no existe"))</f>
        <v/>
      </c>
    </row>
    <row r="108">
      <c r="A108" s="10" t="inlineStr">
        <is>
          <t>MH-009</t>
        </is>
      </c>
      <c r="B108" s="10" t="inlineStr">
        <is>
          <t>P06</t>
        </is>
      </c>
      <c r="C108" s="10" t="inlineStr"/>
      <c r="D108" s="10" t="inlineStr">
        <is>
          <t>2025-06-11</t>
        </is>
      </c>
      <c r="E108" s="10" t="inlineStr">
        <is>
          <t>EXPLICITO</t>
        </is>
      </c>
      <c r="F108" s="10" t="inlineStr">
        <is>
          <t>Fecha y hora</t>
        </is>
      </c>
      <c r="G108" s="12">
        <f>IF(B108="","",IFERROR(INDEX(ref_preguntas!$C$2:$C$200,MATCH(B108,ref_preguntas!$A$2:$A$200,0)),"ID no existe"))</f>
        <v/>
      </c>
    </row>
    <row r="109">
      <c r="A109" s="10" t="inlineStr">
        <is>
          <t>MH-009</t>
        </is>
      </c>
      <c r="B109" s="10" t="inlineStr">
        <is>
          <t>P11</t>
        </is>
      </c>
      <c r="C109" s="10" t="inlineStr"/>
      <c r="D109" s="10" t="inlineStr">
        <is>
          <t>SALON_1, SALON_2, CAJA, COCINA, BRASAS</t>
        </is>
      </c>
      <c r="E109" s="10" t="inlineStr">
        <is>
          <t>EXPLICITO</t>
        </is>
      </c>
      <c r="F109" s="10" t="inlineStr">
        <is>
          <t>Imágenes de zonas</t>
        </is>
      </c>
      <c r="G109" s="12">
        <f>IF(B109="","",IFERROR(INDEX(ref_preguntas!$C$2:$C$200,MATCH(B109,ref_preguntas!$A$2:$A$200,0)),"ID no existe"))</f>
        <v/>
      </c>
    </row>
    <row r="110">
      <c r="A110" s="10" t="inlineStr">
        <is>
          <t>MH-009</t>
        </is>
      </c>
      <c r="B110" s="10" t="inlineStr">
        <is>
          <t>P13</t>
        </is>
      </c>
      <c r="C110" s="10" t="inlineStr"/>
      <c r="D110" s="10" t="inlineStr">
        <is>
          <t>MOVISTAR</t>
        </is>
      </c>
      <c r="E110" s="10" t="inlineStr">
        <is>
          <t>EXPLICITO</t>
        </is>
      </c>
      <c r="F110" s="10" t="inlineStr">
        <is>
          <t>Speedtest</t>
        </is>
      </c>
      <c r="G110" s="12">
        <f>IF(B110="","",IFERROR(INDEX(ref_preguntas!$C$2:$C$200,MATCH(B110,ref_preguntas!$A$2:$A$200,0)),"ID no existe"))</f>
        <v/>
      </c>
    </row>
    <row r="111">
      <c r="A111" s="10" t="inlineStr">
        <is>
          <t>MH-009</t>
        </is>
      </c>
      <c r="B111" s="10" t="inlineStr">
        <is>
          <t>P18</t>
        </is>
      </c>
      <c r="C111" s="10" t="inlineStr"/>
      <c r="D111" s="10" t="inlineStr">
        <is>
          <t>CAJA</t>
        </is>
      </c>
      <c r="E111" s="10" t="inlineStr">
        <is>
          <t>EXPLICITO</t>
        </is>
      </c>
      <c r="F111" s="10" t="inlineStr">
        <is>
          <t>Router principal en caja</t>
        </is>
      </c>
      <c r="G111" s="12">
        <f>IF(B111="","",IFERROR(INDEX(ref_preguntas!$C$2:$C$200,MATCH(B111,ref_preguntas!$A$2:$A$200,0)),"ID no existe"))</f>
        <v/>
      </c>
    </row>
    <row r="112">
      <c r="A112" s="10" t="inlineStr">
        <is>
          <t>MH-009</t>
        </is>
      </c>
      <c r="B112" s="10" t="inlineStr">
        <is>
          <t>P26</t>
        </is>
      </c>
      <c r="C112" s="10" t="inlineStr"/>
      <c r="D112" s="10" t="inlineStr">
        <is>
          <t>2</t>
        </is>
      </c>
      <c r="E112" s="10" t="inlineStr">
        <is>
          <t>EXPLICITO</t>
        </is>
      </c>
      <c r="F112" s="10" t="inlineStr">
        <is>
          <t>Impresoras</t>
        </is>
      </c>
      <c r="G112" s="12">
        <f>IF(B112="","",IFERROR(INDEX(ref_preguntas!$C$2:$C$200,MATCH(B112,ref_preguntas!$A$2:$A$200,0)),"ID no existe"))</f>
        <v/>
      </c>
    </row>
    <row r="113">
      <c r="A113" s="10" t="inlineStr">
        <is>
          <t>MH-009</t>
        </is>
      </c>
      <c r="B113" s="10" t="inlineStr">
        <is>
          <t>P51</t>
        </is>
      </c>
      <c r="C113" s="10" t="inlineStr"/>
      <c r="D113" s="10" t="inlineStr">
        <is>
          <t>ID: Sera G., Yomira Mora · Cliente: Fernando</t>
        </is>
      </c>
      <c r="E113" s="10" t="inlineStr">
        <is>
          <t>EXPLICITO</t>
        </is>
      </c>
      <c r="F113" s="10" t="inlineStr">
        <is>
          <t>Asistentes</t>
        </is>
      </c>
      <c r="G113" s="12">
        <f>IF(B113="","",IFERROR(INDEX(ref_preguntas!$C$2:$C$200,MATCH(B113,ref_preguntas!$A$2:$A$200,0)),"ID no existe"))</f>
        <v/>
      </c>
    </row>
    <row r="114">
      <c r="A114" s="10" t="inlineStr">
        <is>
          <t>MH-009</t>
        </is>
      </c>
      <c r="B114" s="10" t="inlineStr">
        <is>
          <t>P14</t>
        </is>
      </c>
      <c r="C114" s="10" t="inlineStr"/>
      <c r="D114" s="10" t="inlineStr">
        <is>
          <t>FIBRA</t>
        </is>
      </c>
      <c r="E114" s="10" t="inlineStr">
        <is>
          <t>EXPLICITO</t>
        </is>
      </c>
      <c r="F114" s="10" t="inlineStr">
        <is>
          <t>Router conectado a fibra óptica</t>
        </is>
      </c>
      <c r="G114" s="12">
        <f>IF(B114="","",IFERROR(INDEX(ref_preguntas!$C$2:$C$200,MATCH(B114,ref_preguntas!$A$2:$A$200,0)),"ID no existe"))</f>
        <v/>
      </c>
    </row>
    <row r="115">
      <c r="A115" s="10" t="inlineStr">
        <is>
          <t>MH-009</t>
        </is>
      </c>
      <c r="B115" s="10" t="inlineStr">
        <is>
          <t>P27</t>
        </is>
      </c>
      <c r="C115" s="10" t="inlineStr">
        <is>
          <t>L_IMPRESORAS:1</t>
        </is>
      </c>
      <c r="D115" s="10" t="inlineStr">
        <is>
          <t>CAJA</t>
        </is>
      </c>
      <c r="E115" s="10" t="inlineStr">
        <is>
          <t>EXPLICITO</t>
        </is>
      </c>
      <c r="F115" s="10" t="inlineStr">
        <is>
          <t>Impresoras</t>
        </is>
      </c>
      <c r="G115" s="12">
        <f>IF(B115="","",IFERROR(INDEX(ref_preguntas!$C$2:$C$200,MATCH(B115,ref_preguntas!$A$2:$A$200,0)),"ID no existe"))</f>
        <v/>
      </c>
    </row>
    <row r="116">
      <c r="A116" s="10" t="inlineStr">
        <is>
          <t>MH-009</t>
        </is>
      </c>
      <c r="B116" s="10" t="inlineStr">
        <is>
          <t>P30</t>
        </is>
      </c>
      <c r="C116" s="10" t="inlineStr">
        <is>
          <t>L_IMPRESORAS:1</t>
        </is>
      </c>
      <c r="D116" s="10" t="inlineStr">
        <is>
          <t>USB</t>
        </is>
      </c>
      <c r="E116" s="10" t="inlineStr">
        <is>
          <t>EXPLICITO</t>
        </is>
      </c>
      <c r="F116" s="10" t="inlineStr">
        <is>
          <t>Caja (USB)</t>
        </is>
      </c>
      <c r="G116" s="12">
        <f>IF(B116="","",IFERROR(INDEX(ref_preguntas!$C$2:$C$200,MATCH(B116,ref_preguntas!$A$2:$A$200,0)),"ID no existe"))</f>
        <v/>
      </c>
    </row>
    <row r="117">
      <c r="A117" s="10" t="inlineStr">
        <is>
          <t>MH-009</t>
        </is>
      </c>
      <c r="B117" s="10" t="inlineStr">
        <is>
          <t>P12a</t>
        </is>
      </c>
      <c r="C117" s="10" t="inlineStr"/>
      <c r="D117" s="10" t="inlineStr">
        <is>
          <t>SI</t>
        </is>
      </c>
      <c r="E117" s="10" t="inlineStr">
        <is>
          <t>EXPLICITO</t>
        </is>
      </c>
      <c r="F117" s="10" t="inlineStr">
        <is>
          <t>Comandas y pre-cuentas desde tablets</t>
        </is>
      </c>
      <c r="G117" s="12">
        <f>IF(B117="","",IFERROR(INDEX(ref_preguntas!$C$2:$C$200,MATCH(B117,ref_preguntas!$A$2:$A$200,0)),"ID no existe"))</f>
        <v/>
      </c>
    </row>
    <row r="118">
      <c r="A118" s="10" t="inlineStr">
        <is>
          <t>MH-009</t>
        </is>
      </c>
      <c r="B118" s="10" t="inlineStr">
        <is>
          <t>P09</t>
        </is>
      </c>
      <c r="C118" s="10" t="inlineStr"/>
      <c r="D118" s="10" t="inlineStr">
        <is>
          <t>POLLERIA</t>
        </is>
      </c>
      <c r="E118" s="10" t="inlineStr">
        <is>
          <t>EXPLICITO</t>
        </is>
      </c>
      <c r="F118" s="10" t="inlineStr">
        <is>
          <t>Rubro confirmado por el equipo (2026-10-10)</t>
        </is>
      </c>
      <c r="G118" s="12">
        <f>IF(B118="","",IFERROR(INDEX(ref_preguntas!$C$2:$C$200,MATCH(B118,ref_preguntas!$A$2:$A$200,0)),"ID no existe"))</f>
        <v/>
      </c>
    </row>
    <row r="119">
      <c r="A119" s="10" t="inlineStr">
        <is>
          <t>MH-010</t>
        </is>
      </c>
      <c r="B119" s="10" t="inlineStr">
        <is>
          <t>P01</t>
        </is>
      </c>
      <c r="C119" s="10" t="inlineStr"/>
      <c r="D119" s="10" t="inlineStr">
        <is>
          <t>Rikoton</t>
        </is>
      </c>
      <c r="E119" s="10" t="inlineStr">
        <is>
          <t>INFERIDO</t>
        </is>
      </c>
      <c r="F119" s="10" t="inlineStr">
        <is>
          <t>Rikoton (RKT); el nombre comercial aparece en RKT Hacienda</t>
        </is>
      </c>
      <c r="G119" s="12">
        <f>IF(B119="","",IFERROR(INDEX(ref_preguntas!$C$2:$C$200,MATCH(B119,ref_preguntas!$A$2:$A$200,0)),"ID no existe"))</f>
        <v/>
      </c>
    </row>
    <row r="120">
      <c r="A120" s="10" t="inlineStr">
        <is>
          <t>MH-010</t>
        </is>
      </c>
      <c r="B120" s="10" t="inlineStr">
        <is>
          <t>P02</t>
        </is>
      </c>
      <c r="C120" s="10" t="inlineStr"/>
      <c r="D120" s="10" t="inlineStr">
        <is>
          <t>RKT Bayóvar</t>
        </is>
      </c>
      <c r="E120" s="10" t="inlineStr">
        <is>
          <t>EXPLICITO</t>
        </is>
      </c>
      <c r="F120" s="10" t="inlineStr">
        <is>
          <t>Título</t>
        </is>
      </c>
      <c r="G120" s="12">
        <f>IF(B120="","",IFERROR(INDEX(ref_preguntas!$C$2:$C$200,MATCH(B120,ref_preguntas!$A$2:$A$200,0)),"ID no existe"))</f>
        <v/>
      </c>
    </row>
    <row r="121">
      <c r="A121" s="10" t="inlineStr">
        <is>
          <t>MH-010</t>
        </is>
      </c>
      <c r="B121" s="10" t="inlineStr">
        <is>
          <t>P03</t>
        </is>
      </c>
      <c r="C121" s="10" t="inlineStr"/>
      <c r="D121" s="10" t="inlineStr">
        <is>
          <t>Cal. Segunda Zona de Bayóvar Mz. 2 Lt. 1, San Juan de Lurigancho</t>
        </is>
      </c>
      <c r="E121" s="10" t="inlineStr">
        <is>
          <t>EXPLICITO</t>
        </is>
      </c>
      <c r="F121" s="10" t="inlineStr">
        <is>
          <t>Dirección</t>
        </is>
      </c>
      <c r="G121" s="12">
        <f>IF(B121="","",IFERROR(INDEX(ref_preguntas!$C$2:$C$200,MATCH(B121,ref_preguntas!$A$2:$A$200,0)),"ID no existe"))</f>
        <v/>
      </c>
    </row>
    <row r="122">
      <c r="A122" s="10" t="inlineStr">
        <is>
          <t>MH-010</t>
        </is>
      </c>
      <c r="B122" s="10" t="inlineStr">
        <is>
          <t>P04</t>
        </is>
      </c>
      <c r="C122" s="10" t="inlineStr"/>
      <c r="D122" s="10" t="inlineStr">
        <is>
          <t>Fernando</t>
        </is>
      </c>
      <c r="E122" s="10" t="inlineStr">
        <is>
          <t>EXPLICITO</t>
        </is>
      </c>
      <c r="F122" s="10" t="inlineStr">
        <is>
          <t>Team cliente</t>
        </is>
      </c>
      <c r="G122" s="12">
        <f>IF(B122="","",IFERROR(INDEX(ref_preguntas!$C$2:$C$200,MATCH(B122,ref_preguntas!$A$2:$A$200,0)),"ID no existe"))</f>
        <v/>
      </c>
    </row>
    <row r="123">
      <c r="A123" s="10" t="inlineStr">
        <is>
          <t>MH-010</t>
        </is>
      </c>
      <c r="B123" s="10" t="inlineStr">
        <is>
          <t>P06</t>
        </is>
      </c>
      <c r="C123" s="10" t="inlineStr"/>
      <c r="D123" s="10" t="inlineStr">
        <is>
          <t>2025-06-11</t>
        </is>
      </c>
      <c r="E123" s="10" t="inlineStr">
        <is>
          <t>EXPLICITO</t>
        </is>
      </c>
      <c r="F123" s="10" t="inlineStr">
        <is>
          <t>Fecha y hora</t>
        </is>
      </c>
      <c r="G123" s="12">
        <f>IF(B123="","",IFERROR(INDEX(ref_preguntas!$C$2:$C$200,MATCH(B123,ref_preguntas!$A$2:$A$200,0)),"ID no existe"))</f>
        <v/>
      </c>
    </row>
    <row r="124">
      <c r="A124" s="10" t="inlineStr">
        <is>
          <t>MH-010</t>
        </is>
      </c>
      <c r="B124" s="10" t="inlineStr">
        <is>
          <t>P11</t>
        </is>
      </c>
      <c r="C124" s="10" t="inlineStr"/>
      <c r="D124" s="10" t="inlineStr">
        <is>
          <t>SALON_1, CAJA, BRASAS, COCINA</t>
        </is>
      </c>
      <c r="E124" s="10" t="inlineStr">
        <is>
          <t>EXPLICITO</t>
        </is>
      </c>
      <c r="F124" s="10" t="inlineStr">
        <is>
          <t>Imágenes de zonas</t>
        </is>
      </c>
      <c r="G124" s="12">
        <f>IF(B124="","",IFERROR(INDEX(ref_preguntas!$C$2:$C$200,MATCH(B124,ref_preguntas!$A$2:$A$200,0)),"ID no existe"))</f>
        <v/>
      </c>
    </row>
    <row r="125">
      <c r="A125" s="10" t="inlineStr">
        <is>
          <t>MH-010</t>
        </is>
      </c>
      <c r="B125" s="10" t="inlineStr">
        <is>
          <t>P13</t>
        </is>
      </c>
      <c r="C125" s="10" t="inlineStr"/>
      <c r="D125" s="10" t="inlineStr">
        <is>
          <t>MOVISTAR</t>
        </is>
      </c>
      <c r="E125" s="10" t="inlineStr">
        <is>
          <t>EXPLICITO</t>
        </is>
      </c>
      <c r="F125" s="10" t="inlineStr">
        <is>
          <t>Speedtest</t>
        </is>
      </c>
      <c r="G125" s="12">
        <f>IF(B125="","",IFERROR(INDEX(ref_preguntas!$C$2:$C$200,MATCH(B125,ref_preguntas!$A$2:$A$200,0)),"ID no existe"))</f>
        <v/>
      </c>
    </row>
    <row r="126">
      <c r="A126" s="10" t="inlineStr">
        <is>
          <t>MH-010</t>
        </is>
      </c>
      <c r="B126" s="10" t="inlineStr">
        <is>
          <t>P26</t>
        </is>
      </c>
      <c r="C126" s="10" t="inlineStr"/>
      <c r="D126" s="10" t="inlineStr">
        <is>
          <t>3</t>
        </is>
      </c>
      <c r="E126" s="10" t="inlineStr">
        <is>
          <t>EXPLICITO</t>
        </is>
      </c>
      <c r="F126" s="10" t="inlineStr">
        <is>
          <t>Impresoras</t>
        </is>
      </c>
      <c r="G126" s="12">
        <f>IF(B126="","",IFERROR(INDEX(ref_preguntas!$C$2:$C$200,MATCH(B126,ref_preguntas!$A$2:$A$200,0)),"ID no existe"))</f>
        <v/>
      </c>
    </row>
    <row r="127">
      <c r="A127" s="10" t="inlineStr">
        <is>
          <t>MH-010</t>
        </is>
      </c>
      <c r="B127" s="10" t="inlineStr">
        <is>
          <t>P51</t>
        </is>
      </c>
      <c r="C127" s="10" t="inlineStr"/>
      <c r="D127" s="10" t="inlineStr">
        <is>
          <t>ID: Sera G., Yomira Mora · Cliente: Fernando</t>
        </is>
      </c>
      <c r="E127" s="10" t="inlineStr">
        <is>
          <t>EXPLICITO</t>
        </is>
      </c>
      <c r="F127" s="10" t="inlineStr">
        <is>
          <t>Asistentes</t>
        </is>
      </c>
      <c r="G127" s="12">
        <f>IF(B127="","",IFERROR(INDEX(ref_preguntas!$C$2:$C$200,MATCH(B127,ref_preguntas!$A$2:$A$200,0)),"ID no existe"))</f>
        <v/>
      </c>
    </row>
    <row r="128">
      <c r="A128" s="10" t="inlineStr">
        <is>
          <t>MH-010</t>
        </is>
      </c>
      <c r="B128" s="10" t="inlineStr">
        <is>
          <t>P12a</t>
        </is>
      </c>
      <c r="C128" s="10" t="inlineStr"/>
      <c r="D128" s="10" t="inlineStr">
        <is>
          <t>SI</t>
        </is>
      </c>
      <c r="E128" s="10" t="inlineStr">
        <is>
          <t>INFERIDO</t>
        </is>
      </c>
      <c r="F128" s="10" t="inlineStr">
        <is>
          <t>Impresoras de cocina y brasas</t>
        </is>
      </c>
      <c r="G128" s="12">
        <f>IF(B128="","",IFERROR(INDEX(ref_preguntas!$C$2:$C$200,MATCH(B128,ref_preguntas!$A$2:$A$200,0)),"ID no existe"))</f>
        <v/>
      </c>
    </row>
    <row r="129">
      <c r="A129" s="10" t="inlineStr">
        <is>
          <t>MH-010</t>
        </is>
      </c>
      <c r="B129" s="10" t="inlineStr">
        <is>
          <t>P09</t>
        </is>
      </c>
      <c r="C129" s="10" t="inlineStr"/>
      <c r="D129" s="10" t="inlineStr">
        <is>
          <t>POLLERIA</t>
        </is>
      </c>
      <c r="E129" s="10" t="inlineStr">
        <is>
          <t>EXPLICITO</t>
        </is>
      </c>
      <c r="F129" s="10" t="inlineStr">
        <is>
          <t>Rubro confirmado por el equipo (2026-10-10)</t>
        </is>
      </c>
      <c r="G129" s="12">
        <f>IF(B129="","",IFERROR(INDEX(ref_preguntas!$C$2:$C$200,MATCH(B129,ref_preguntas!$A$2:$A$200,0)),"ID no existe"))</f>
        <v/>
      </c>
    </row>
    <row r="130">
      <c r="A130" s="10" t="inlineStr">
        <is>
          <t>MH-011</t>
        </is>
      </c>
      <c r="B130" s="10" t="inlineStr">
        <is>
          <t>P01</t>
        </is>
      </c>
      <c r="C130" s="10" t="inlineStr"/>
      <c r="D130" s="10" t="inlineStr">
        <is>
          <t>Rikoton</t>
        </is>
      </c>
      <c r="E130" s="10" t="inlineStr">
        <is>
          <t>INFERIDO</t>
        </is>
      </c>
      <c r="F130" s="10" t="inlineStr">
        <is>
          <t>Rikoton (RKT); el nombre comercial aparece en RKT Hacienda</t>
        </is>
      </c>
      <c r="G130" s="12">
        <f>IF(B130="","",IFERROR(INDEX(ref_preguntas!$C$2:$C$200,MATCH(B130,ref_preguntas!$A$2:$A$200,0)),"ID no existe"))</f>
        <v/>
      </c>
    </row>
    <row r="131">
      <c r="A131" s="10" t="inlineStr">
        <is>
          <t>MH-011</t>
        </is>
      </c>
      <c r="B131" s="10" t="inlineStr">
        <is>
          <t>P02</t>
        </is>
      </c>
      <c r="C131" s="10" t="inlineStr"/>
      <c r="D131" s="10" t="inlineStr">
        <is>
          <t>RKT Calle 8</t>
        </is>
      </c>
      <c r="E131" s="10" t="inlineStr">
        <is>
          <t>EXPLICITO</t>
        </is>
      </c>
      <c r="F131" s="10" t="inlineStr">
        <is>
          <t>Título</t>
        </is>
      </c>
      <c r="G131" s="12">
        <f>IF(B131="","",IFERROR(INDEX(ref_preguntas!$C$2:$C$200,MATCH(B131,ref_preguntas!$A$2:$A$200,0)),"ID no existe"))</f>
        <v/>
      </c>
    </row>
    <row r="132">
      <c r="A132" s="10" t="inlineStr">
        <is>
          <t>MH-011</t>
        </is>
      </c>
      <c r="B132" s="10" t="inlineStr">
        <is>
          <t>P03</t>
        </is>
      </c>
      <c r="C132" s="10" t="inlineStr"/>
      <c r="D132" s="10" t="inlineStr">
        <is>
          <t>Av. Los Pinos Mz. S Lt. 3, Campoy II Etapa, San Juan de Lurigancho</t>
        </is>
      </c>
      <c r="E132" s="10" t="inlineStr">
        <is>
          <t>EXPLICITO</t>
        </is>
      </c>
      <c r="F132" s="10" t="inlineStr">
        <is>
          <t>Dirección</t>
        </is>
      </c>
      <c r="G132" s="12">
        <f>IF(B132="","",IFERROR(INDEX(ref_preguntas!$C$2:$C$200,MATCH(B132,ref_preguntas!$A$2:$A$200,0)),"ID no existe"))</f>
        <v/>
      </c>
    </row>
    <row r="133">
      <c r="A133" s="10" t="inlineStr">
        <is>
          <t>MH-011</t>
        </is>
      </c>
      <c r="B133" s="10" t="inlineStr">
        <is>
          <t>P04</t>
        </is>
      </c>
      <c r="C133" s="10" t="inlineStr"/>
      <c r="D133" s="10" t="inlineStr">
        <is>
          <t>Fernando</t>
        </is>
      </c>
      <c r="E133" s="10" t="inlineStr">
        <is>
          <t>EXPLICITO</t>
        </is>
      </c>
      <c r="F133" s="10" t="inlineStr">
        <is>
          <t>Team cliente</t>
        </is>
      </c>
      <c r="G133" s="12">
        <f>IF(B133="","",IFERROR(INDEX(ref_preguntas!$C$2:$C$200,MATCH(B133,ref_preguntas!$A$2:$A$200,0)),"ID no existe"))</f>
        <v/>
      </c>
    </row>
    <row r="134">
      <c r="A134" s="10" t="inlineStr">
        <is>
          <t>MH-011</t>
        </is>
      </c>
      <c r="B134" s="10" t="inlineStr">
        <is>
          <t>P06</t>
        </is>
      </c>
      <c r="C134" s="10" t="inlineStr"/>
      <c r="D134" s="10" t="inlineStr">
        <is>
          <t>2025-06-11</t>
        </is>
      </c>
      <c r="E134" s="10" t="inlineStr">
        <is>
          <t>EXPLICITO</t>
        </is>
      </c>
      <c r="F134" s="10" t="inlineStr">
        <is>
          <t>Fecha y hora</t>
        </is>
      </c>
      <c r="G134" s="12">
        <f>IF(B134="","",IFERROR(INDEX(ref_preguntas!$C$2:$C$200,MATCH(B134,ref_preguntas!$A$2:$A$200,0)),"ID no existe"))</f>
        <v/>
      </c>
    </row>
    <row r="135">
      <c r="A135" s="10" t="inlineStr">
        <is>
          <t>MH-011</t>
        </is>
      </c>
      <c r="B135" s="10" t="inlineStr">
        <is>
          <t>P11</t>
        </is>
      </c>
      <c r="C135" s="10" t="inlineStr"/>
      <c r="D135" s="10" t="inlineStr">
        <is>
          <t>SALON_1, SALON_2, CAJA, BRASAS, COCINA</t>
        </is>
      </c>
      <c r="E135" s="10" t="inlineStr">
        <is>
          <t>EXPLICITO</t>
        </is>
      </c>
      <c r="F135" s="10" t="inlineStr">
        <is>
          <t>Imágenes de zonas</t>
        </is>
      </c>
      <c r="G135" s="12">
        <f>IF(B135="","",IFERROR(INDEX(ref_preguntas!$C$2:$C$200,MATCH(B135,ref_preguntas!$A$2:$A$200,0)),"ID no existe"))</f>
        <v/>
      </c>
    </row>
    <row r="136">
      <c r="A136" s="10" t="inlineStr">
        <is>
          <t>MH-011</t>
        </is>
      </c>
      <c r="B136" s="10" t="inlineStr">
        <is>
          <t>P13</t>
        </is>
      </c>
      <c r="C136" s="10" t="inlineStr"/>
      <c r="D136" s="10" t="inlineStr">
        <is>
          <t>OTRO</t>
        </is>
      </c>
      <c r="E136" s="10" t="inlineStr">
        <is>
          <t>EXPLICITO</t>
        </is>
      </c>
      <c r="F136" s="10" t="inlineStr">
        <is>
          <t>Speedtest</t>
        </is>
      </c>
      <c r="G136" s="12">
        <f>IF(B136="","",IFERROR(INDEX(ref_preguntas!$C$2:$C$200,MATCH(B136,ref_preguntas!$A$2:$A$200,0)),"ID no existe"))</f>
        <v/>
      </c>
    </row>
    <row r="137">
      <c r="A137" s="10" t="inlineStr">
        <is>
          <t>MH-011</t>
        </is>
      </c>
      <c r="B137" s="10" t="inlineStr">
        <is>
          <t>P18</t>
        </is>
      </c>
      <c r="C137" s="10" t="inlineStr"/>
      <c r="D137" s="10" t="inlineStr">
        <is>
          <t>CAJA</t>
        </is>
      </c>
      <c r="E137" s="10" t="inlineStr">
        <is>
          <t>EXPLICITO</t>
        </is>
      </c>
      <c r="F137" s="10" t="inlineStr">
        <is>
          <t>Router principal en caja</t>
        </is>
      </c>
      <c r="G137" s="12">
        <f>IF(B137="","",IFERROR(INDEX(ref_preguntas!$C$2:$C$200,MATCH(B137,ref_preguntas!$A$2:$A$200,0)),"ID no existe"))</f>
        <v/>
      </c>
    </row>
    <row r="138">
      <c r="A138" s="10" t="inlineStr">
        <is>
          <t>MH-011</t>
        </is>
      </c>
      <c r="B138" s="10" t="inlineStr">
        <is>
          <t>P26</t>
        </is>
      </c>
      <c r="C138" s="10" t="inlineStr"/>
      <c r="D138" s="10" t="inlineStr">
        <is>
          <t>3</t>
        </is>
      </c>
      <c r="E138" s="10" t="inlineStr">
        <is>
          <t>EXPLICITO</t>
        </is>
      </c>
      <c r="F138" s="10" t="inlineStr">
        <is>
          <t>Impresoras</t>
        </is>
      </c>
      <c r="G138" s="12">
        <f>IF(B138="","",IFERROR(INDEX(ref_preguntas!$C$2:$C$200,MATCH(B138,ref_preguntas!$A$2:$A$200,0)),"ID no existe"))</f>
        <v/>
      </c>
    </row>
    <row r="139">
      <c r="A139" s="10" t="inlineStr">
        <is>
          <t>MH-011</t>
        </is>
      </c>
      <c r="B139" s="10" t="inlineStr">
        <is>
          <t>P51</t>
        </is>
      </c>
      <c r="C139" s="10" t="inlineStr"/>
      <c r="D139" s="10" t="inlineStr">
        <is>
          <t>ID: Sera G., Yomira Mora · Cliente: Fernando</t>
        </is>
      </c>
      <c r="E139" s="10" t="inlineStr">
        <is>
          <t>EXPLICITO</t>
        </is>
      </c>
      <c r="F139" s="10" t="inlineStr">
        <is>
          <t>Asistentes</t>
        </is>
      </c>
      <c r="G139" s="12">
        <f>IF(B139="","",IFERROR(INDEX(ref_preguntas!$C$2:$C$200,MATCH(B139,ref_preguntas!$A$2:$A$200,0)),"ID no existe"))</f>
        <v/>
      </c>
    </row>
    <row r="140">
      <c r="A140" s="10" t="inlineStr">
        <is>
          <t>MH-011</t>
        </is>
      </c>
      <c r="B140" s="10" t="inlineStr">
        <is>
          <t>P10</t>
        </is>
      </c>
      <c r="C140" s="10" t="inlineStr"/>
      <c r="D140" s="10" t="inlineStr">
        <is>
          <t>2</t>
        </is>
      </c>
      <c r="E140" s="10" t="inlineStr">
        <is>
          <t>EXPLICITO</t>
        </is>
      </c>
      <c r="F140" s="10" t="inlineStr">
        <is>
          <t>Salones por piso</t>
        </is>
      </c>
      <c r="G140" s="12">
        <f>IF(B140="","",IFERROR(INDEX(ref_preguntas!$C$2:$C$200,MATCH(B140,ref_preguntas!$A$2:$A$200,0)),"ID no existe"))</f>
        <v/>
      </c>
    </row>
    <row r="141">
      <c r="A141" s="10" t="inlineStr">
        <is>
          <t>MH-011</t>
        </is>
      </c>
      <c r="B141" s="10" t="inlineStr">
        <is>
          <t>P45</t>
        </is>
      </c>
      <c r="C141" s="10" t="inlineStr"/>
      <c r="D141" s="10" t="inlineStr">
        <is>
          <t>SI</t>
        </is>
      </c>
      <c r="E141" s="10" t="inlineStr">
        <is>
          <t>EXPLICITO</t>
        </is>
      </c>
      <c r="F141" s="10" t="inlineStr">
        <is>
          <t>Repetidor escalera piso 2</t>
        </is>
      </c>
      <c r="G141" s="12">
        <f>IF(B141="","",IFERROR(INDEX(ref_preguntas!$C$2:$C$200,MATCH(B141,ref_preguntas!$A$2:$A$200,0)),"ID no existe"))</f>
        <v/>
      </c>
    </row>
    <row r="142">
      <c r="A142" s="10" t="inlineStr">
        <is>
          <t>MH-011</t>
        </is>
      </c>
      <c r="B142" s="10" t="inlineStr">
        <is>
          <t>P30</t>
        </is>
      </c>
      <c r="C142" s="10" t="inlineStr">
        <is>
          <t>L_IMPRESORAS:1</t>
        </is>
      </c>
      <c r="D142" s="10" t="inlineStr">
        <is>
          <t>CABLE_RED</t>
        </is>
      </c>
      <c r="E142" s="10" t="inlineStr">
        <is>
          <t>EXPLICITO</t>
        </is>
      </c>
      <c r="F142" s="10" t="inlineStr">
        <is>
          <t>Impresoras vía Ethernet</t>
        </is>
      </c>
      <c r="G142" s="12">
        <f>IF(B142="","",IFERROR(INDEX(ref_preguntas!$C$2:$C$200,MATCH(B142,ref_preguntas!$A$2:$A$200,0)),"ID no existe"))</f>
        <v/>
      </c>
    </row>
    <row r="143">
      <c r="A143" s="10" t="inlineStr">
        <is>
          <t>MH-011</t>
        </is>
      </c>
      <c r="B143" s="10" t="inlineStr">
        <is>
          <t>P12a</t>
        </is>
      </c>
      <c r="C143" s="10" t="inlineStr"/>
      <c r="D143" s="10" t="inlineStr">
        <is>
          <t>SI</t>
        </is>
      </c>
      <c r="E143" s="10" t="inlineStr">
        <is>
          <t>INFERIDO</t>
        </is>
      </c>
      <c r="F143" s="10" t="inlineStr">
        <is>
          <t>Impresoras de cocina y brasas</t>
        </is>
      </c>
      <c r="G143" s="12">
        <f>IF(B143="","",IFERROR(INDEX(ref_preguntas!$C$2:$C$200,MATCH(B143,ref_preguntas!$A$2:$A$200,0)),"ID no existe"))</f>
        <v/>
      </c>
    </row>
    <row r="144">
      <c r="A144" s="10" t="inlineStr">
        <is>
          <t>MH-011</t>
        </is>
      </c>
      <c r="B144" s="10" t="inlineStr">
        <is>
          <t>P09</t>
        </is>
      </c>
      <c r="C144" s="10" t="inlineStr"/>
      <c r="D144" s="10" t="inlineStr">
        <is>
          <t>POLLERIA</t>
        </is>
      </c>
      <c r="E144" s="10" t="inlineStr">
        <is>
          <t>EXPLICITO</t>
        </is>
      </c>
      <c r="F144" s="10" t="inlineStr">
        <is>
          <t>Rubro confirmado por el equipo (2026-10-10)</t>
        </is>
      </c>
      <c r="G144" s="12">
        <f>IF(B144="","",IFERROR(INDEX(ref_preguntas!$C$2:$C$200,MATCH(B144,ref_preguntas!$A$2:$A$200,0)),"ID no existe"))</f>
        <v/>
      </c>
    </row>
    <row r="145">
      <c r="A145" s="10" t="inlineStr">
        <is>
          <t>MH-012</t>
        </is>
      </c>
      <c r="B145" s="10" t="inlineStr">
        <is>
          <t>P01</t>
        </is>
      </c>
      <c r="C145" s="10" t="inlineStr"/>
      <c r="D145" s="10" t="inlineStr">
        <is>
          <t>Rikoton</t>
        </is>
      </c>
      <c r="E145" s="10" t="inlineStr">
        <is>
          <t>INFERIDO</t>
        </is>
      </c>
      <c r="F145" s="10" t="inlineStr">
        <is>
          <t>Rikoton (RKT); el nombre comercial aparece en RKT Hacienda</t>
        </is>
      </c>
      <c r="G145" s="12">
        <f>IF(B145="","",IFERROR(INDEX(ref_preguntas!$C$2:$C$200,MATCH(B145,ref_preguntas!$A$2:$A$200,0)),"ID no existe"))</f>
        <v/>
      </c>
    </row>
    <row r="146">
      <c r="A146" s="10" t="inlineStr">
        <is>
          <t>MH-012</t>
        </is>
      </c>
      <c r="B146" s="10" t="inlineStr">
        <is>
          <t>P02</t>
        </is>
      </c>
      <c r="C146" s="10" t="inlineStr"/>
      <c r="D146" s="10" t="inlineStr">
        <is>
          <t>RKT Hacienda</t>
        </is>
      </c>
      <c r="E146" s="10" t="inlineStr">
        <is>
          <t>EXPLICITO</t>
        </is>
      </c>
      <c r="F146" s="10" t="inlineStr">
        <is>
          <t>Título</t>
        </is>
      </c>
      <c r="G146" s="12">
        <f>IF(B146="","",IFERROR(INDEX(ref_preguntas!$C$2:$C$200,MATCH(B146,ref_preguntas!$A$2:$A$200,0)),"ID no existe"))</f>
        <v/>
      </c>
    </row>
    <row r="147">
      <c r="A147" s="10" t="inlineStr">
        <is>
          <t>MH-012</t>
        </is>
      </c>
      <c r="B147" s="10" t="inlineStr">
        <is>
          <t>P03</t>
        </is>
      </c>
      <c r="C147" s="10" t="inlineStr"/>
      <c r="D147" s="10" t="inlineStr">
        <is>
          <t>Av. Próceres de la Independencia 1730, San Juan de Lurigancho</t>
        </is>
      </c>
      <c r="E147" s="10" t="inlineStr">
        <is>
          <t>EXPLICITO</t>
        </is>
      </c>
      <c r="F147" s="10" t="inlineStr">
        <is>
          <t>Dirección</t>
        </is>
      </c>
      <c r="G147" s="12">
        <f>IF(B147="","",IFERROR(INDEX(ref_preguntas!$C$2:$C$200,MATCH(B147,ref_preguntas!$A$2:$A$200,0)),"ID no existe"))</f>
        <v/>
      </c>
    </row>
    <row r="148">
      <c r="A148" s="10" t="inlineStr">
        <is>
          <t>MH-012</t>
        </is>
      </c>
      <c r="B148" s="10" t="inlineStr">
        <is>
          <t>P04</t>
        </is>
      </c>
      <c r="C148" s="10" t="inlineStr"/>
      <c r="D148" s="10" t="inlineStr">
        <is>
          <t>Fernando</t>
        </is>
      </c>
      <c r="E148" s="10" t="inlineStr">
        <is>
          <t>EXPLICITO</t>
        </is>
      </c>
      <c r="F148" s="10" t="inlineStr">
        <is>
          <t>Team cliente</t>
        </is>
      </c>
      <c r="G148" s="12">
        <f>IF(B148="","",IFERROR(INDEX(ref_preguntas!$C$2:$C$200,MATCH(B148,ref_preguntas!$A$2:$A$200,0)),"ID no existe"))</f>
        <v/>
      </c>
    </row>
    <row r="149">
      <c r="A149" s="10" t="inlineStr">
        <is>
          <t>MH-012</t>
        </is>
      </c>
      <c r="B149" s="10" t="inlineStr">
        <is>
          <t>P06</t>
        </is>
      </c>
      <c r="C149" s="10" t="inlineStr"/>
      <c r="D149" s="10" t="inlineStr">
        <is>
          <t>2025-06-11</t>
        </is>
      </c>
      <c r="E149" s="10" t="inlineStr">
        <is>
          <t>EXPLICITO</t>
        </is>
      </c>
      <c r="F149" s="10" t="inlineStr">
        <is>
          <t>Fecha y hora</t>
        </is>
      </c>
      <c r="G149" s="12">
        <f>IF(B149="","",IFERROR(INDEX(ref_preguntas!$C$2:$C$200,MATCH(B149,ref_preguntas!$A$2:$A$200,0)),"ID no existe"))</f>
        <v/>
      </c>
    </row>
    <row r="150">
      <c r="A150" s="10" t="inlineStr">
        <is>
          <t>MH-012</t>
        </is>
      </c>
      <c r="B150" s="10" t="inlineStr">
        <is>
          <t>P11</t>
        </is>
      </c>
      <c r="C150" s="10" t="inlineStr"/>
      <c r="D150" s="10" t="inlineStr">
        <is>
          <t>SALON_1, SALON_2, CAJA, BAR, COCINA</t>
        </is>
      </c>
      <c r="E150" s="10" t="inlineStr">
        <is>
          <t>EXPLICITO</t>
        </is>
      </c>
      <c r="F150" s="10" t="inlineStr">
        <is>
          <t>Imágenes de zonas</t>
        </is>
      </c>
      <c r="G150" s="12">
        <f>IF(B150="","",IFERROR(INDEX(ref_preguntas!$C$2:$C$200,MATCH(B150,ref_preguntas!$A$2:$A$200,0)),"ID no existe"))</f>
        <v/>
      </c>
    </row>
    <row r="151">
      <c r="A151" s="10" t="inlineStr">
        <is>
          <t>MH-012</t>
        </is>
      </c>
      <c r="B151" s="10" t="inlineStr">
        <is>
          <t>P13</t>
        </is>
      </c>
      <c r="C151" s="10" t="inlineStr"/>
      <c r="D151" s="10" t="inlineStr">
        <is>
          <t>MOVISTAR</t>
        </is>
      </c>
      <c r="E151" s="10" t="inlineStr">
        <is>
          <t>EXPLICITO</t>
        </is>
      </c>
      <c r="F151" s="10" t="inlineStr">
        <is>
          <t>Speedtest</t>
        </is>
      </c>
      <c r="G151" s="12">
        <f>IF(B151="","",IFERROR(INDEX(ref_preguntas!$C$2:$C$200,MATCH(B151,ref_preguntas!$A$2:$A$200,0)),"ID no existe"))</f>
        <v/>
      </c>
    </row>
    <row r="152">
      <c r="A152" s="10" t="inlineStr">
        <is>
          <t>MH-012</t>
        </is>
      </c>
      <c r="B152" s="10" t="inlineStr">
        <is>
          <t>P18</t>
        </is>
      </c>
      <c r="C152" s="10" t="inlineStr"/>
      <c r="D152" s="10" t="inlineStr">
        <is>
          <t>CAJA</t>
        </is>
      </c>
      <c r="E152" s="10" t="inlineStr">
        <is>
          <t>EXPLICITO</t>
        </is>
      </c>
      <c r="F152" s="10" t="inlineStr">
        <is>
          <t>Router principal en caja</t>
        </is>
      </c>
      <c r="G152" s="12">
        <f>IF(B152="","",IFERROR(INDEX(ref_preguntas!$C$2:$C$200,MATCH(B152,ref_preguntas!$A$2:$A$200,0)),"ID no existe"))</f>
        <v/>
      </c>
    </row>
    <row r="153">
      <c r="A153" s="10" t="inlineStr">
        <is>
          <t>MH-012</t>
        </is>
      </c>
      <c r="B153" s="10" t="inlineStr">
        <is>
          <t>P26</t>
        </is>
      </c>
      <c r="C153" s="10" t="inlineStr"/>
      <c r="D153" s="10" t="inlineStr">
        <is>
          <t>2</t>
        </is>
      </c>
      <c r="E153" s="10" t="inlineStr">
        <is>
          <t>EXPLICITO</t>
        </is>
      </c>
      <c r="F153" s="10" t="inlineStr">
        <is>
          <t>Impresoras</t>
        </is>
      </c>
      <c r="G153" s="12">
        <f>IF(B153="","",IFERROR(INDEX(ref_preguntas!$C$2:$C$200,MATCH(B153,ref_preguntas!$A$2:$A$200,0)),"ID no existe"))</f>
        <v/>
      </c>
    </row>
    <row r="154">
      <c r="A154" s="10" t="inlineStr">
        <is>
          <t>MH-012</t>
        </is>
      </c>
      <c r="B154" s="10" t="inlineStr">
        <is>
          <t>P51</t>
        </is>
      </c>
      <c r="C154" s="10" t="inlineStr"/>
      <c r="D154" s="10" t="inlineStr">
        <is>
          <t>ID: Sera G., Yomira Mora · Cliente: Fernando</t>
        </is>
      </c>
      <c r="E154" s="10" t="inlineStr">
        <is>
          <t>EXPLICITO</t>
        </is>
      </c>
      <c r="F154" s="10" t="inlineStr">
        <is>
          <t>Asistentes</t>
        </is>
      </c>
      <c r="G154" s="12">
        <f>IF(B154="","",IFERROR(INDEX(ref_preguntas!$C$2:$C$200,MATCH(B154,ref_preguntas!$A$2:$A$200,0)),"ID no existe"))</f>
        <v/>
      </c>
    </row>
    <row r="155">
      <c r="A155" s="10" t="inlineStr">
        <is>
          <t>MH-012</t>
        </is>
      </c>
      <c r="B155" s="10" t="inlineStr">
        <is>
          <t>P12a</t>
        </is>
      </c>
      <c r="C155" s="10" t="inlineStr"/>
      <c r="D155" s="10" t="inlineStr">
        <is>
          <t>SI</t>
        </is>
      </c>
      <c r="E155" s="10" t="inlineStr">
        <is>
          <t>INFERIDO</t>
        </is>
      </c>
      <c r="F155" s="10" t="inlineStr">
        <is>
          <t>Impresora de cocina</t>
        </is>
      </c>
      <c r="G155" s="12">
        <f>IF(B155="","",IFERROR(INDEX(ref_preguntas!$C$2:$C$200,MATCH(B155,ref_preguntas!$A$2:$A$200,0)),"ID no existe"))</f>
        <v/>
      </c>
    </row>
    <row r="156">
      <c r="A156" s="10" t="inlineStr">
        <is>
          <t>MH-012</t>
        </is>
      </c>
      <c r="B156" s="10" t="inlineStr">
        <is>
          <t>P09</t>
        </is>
      </c>
      <c r="C156" s="10" t="inlineStr"/>
      <c r="D156" s="10" t="inlineStr">
        <is>
          <t>POLLERIA</t>
        </is>
      </c>
      <c r="E156" s="10" t="inlineStr">
        <is>
          <t>EXPLICITO</t>
        </is>
      </c>
      <c r="F156" s="10" t="inlineStr">
        <is>
          <t>Rubro confirmado por el equipo (2026-10-10)</t>
        </is>
      </c>
      <c r="G156" s="12">
        <f>IF(B156="","",IFERROR(INDEX(ref_preguntas!$C$2:$C$200,MATCH(B156,ref_preguntas!$A$2:$A$200,0)),"ID no existe"))</f>
        <v/>
      </c>
    </row>
    <row r="157">
      <c r="A157" s="10" t="inlineStr">
        <is>
          <t>MH-013</t>
        </is>
      </c>
      <c r="B157" s="10" t="inlineStr">
        <is>
          <t>P01</t>
        </is>
      </c>
      <c r="C157" s="10" t="inlineStr"/>
      <c r="D157" s="10" t="inlineStr">
        <is>
          <t>Rikoton</t>
        </is>
      </c>
      <c r="E157" s="10" t="inlineStr">
        <is>
          <t>INFERIDO</t>
        </is>
      </c>
      <c r="F157" s="10" t="inlineStr">
        <is>
          <t>Rikoton (RKT); el nombre comercial aparece en RKT Hacienda</t>
        </is>
      </c>
      <c r="G157" s="12">
        <f>IF(B157="","",IFERROR(INDEX(ref_preguntas!$C$2:$C$200,MATCH(B157,ref_preguntas!$A$2:$A$200,0)),"ID no existe"))</f>
        <v/>
      </c>
    </row>
    <row r="158">
      <c r="A158" s="10" t="inlineStr">
        <is>
          <t>MH-013</t>
        </is>
      </c>
      <c r="B158" s="10" t="inlineStr">
        <is>
          <t>P02</t>
        </is>
      </c>
      <c r="C158" s="10" t="inlineStr"/>
      <c r="D158" s="10" t="inlineStr">
        <is>
          <t>RKT Mariscal</t>
        </is>
      </c>
      <c r="E158" s="10" t="inlineStr">
        <is>
          <t>EXPLICITO</t>
        </is>
      </c>
      <c r="F158" s="10" t="inlineStr">
        <is>
          <t>Título</t>
        </is>
      </c>
      <c r="G158" s="12">
        <f>IF(B158="","",IFERROR(INDEX(ref_preguntas!$C$2:$C$200,MATCH(B158,ref_preguntas!$A$2:$A$200,0)),"ID no existe"))</f>
        <v/>
      </c>
    </row>
    <row r="159">
      <c r="A159" s="10" t="inlineStr">
        <is>
          <t>MH-013</t>
        </is>
      </c>
      <c r="B159" s="10" t="inlineStr">
        <is>
          <t>P03</t>
        </is>
      </c>
      <c r="C159" s="10" t="inlineStr"/>
      <c r="D159" s="10" t="inlineStr">
        <is>
          <t>Jr. Somos Libres Mz. D Lt. 3, San Juan de Lurigancho</t>
        </is>
      </c>
      <c r="E159" s="10" t="inlineStr">
        <is>
          <t>EXPLICITO</t>
        </is>
      </c>
      <c r="F159" s="10" t="inlineStr">
        <is>
          <t>Dirección</t>
        </is>
      </c>
      <c r="G159" s="12">
        <f>IF(B159="","",IFERROR(INDEX(ref_preguntas!$C$2:$C$200,MATCH(B159,ref_preguntas!$A$2:$A$200,0)),"ID no existe"))</f>
        <v/>
      </c>
    </row>
    <row r="160">
      <c r="A160" s="10" t="inlineStr">
        <is>
          <t>MH-013</t>
        </is>
      </c>
      <c r="B160" s="10" t="inlineStr">
        <is>
          <t>P04</t>
        </is>
      </c>
      <c r="C160" s="10" t="inlineStr"/>
      <c r="D160" s="10" t="inlineStr">
        <is>
          <t>Fernando</t>
        </is>
      </c>
      <c r="E160" s="10" t="inlineStr">
        <is>
          <t>EXPLICITO</t>
        </is>
      </c>
      <c r="F160" s="10" t="inlineStr">
        <is>
          <t>Team cliente</t>
        </is>
      </c>
      <c r="G160" s="12">
        <f>IF(B160="","",IFERROR(INDEX(ref_preguntas!$C$2:$C$200,MATCH(B160,ref_preguntas!$A$2:$A$200,0)),"ID no existe"))</f>
        <v/>
      </c>
    </row>
    <row r="161">
      <c r="A161" s="10" t="inlineStr">
        <is>
          <t>MH-013</t>
        </is>
      </c>
      <c r="B161" s="10" t="inlineStr">
        <is>
          <t>P06</t>
        </is>
      </c>
      <c r="C161" s="10" t="inlineStr"/>
      <c r="D161" s="10" t="inlineStr">
        <is>
          <t>2025-06-11</t>
        </is>
      </c>
      <c r="E161" s="10" t="inlineStr">
        <is>
          <t>EXPLICITO</t>
        </is>
      </c>
      <c r="F161" s="10" t="inlineStr">
        <is>
          <t>Fecha y hora</t>
        </is>
      </c>
      <c r="G161" s="12">
        <f>IF(B161="","",IFERROR(INDEX(ref_preguntas!$C$2:$C$200,MATCH(B161,ref_preguntas!$A$2:$A$200,0)),"ID no existe"))</f>
        <v/>
      </c>
    </row>
    <row r="162">
      <c r="A162" s="10" t="inlineStr">
        <is>
          <t>MH-013</t>
        </is>
      </c>
      <c r="B162" s="10" t="inlineStr">
        <is>
          <t>P11</t>
        </is>
      </c>
      <c r="C162" s="10" t="inlineStr"/>
      <c r="D162" s="10" t="inlineStr">
        <is>
          <t>SALON_1, SALON_2, BAR, CAJA, COCINA, BRASAS</t>
        </is>
      </c>
      <c r="E162" s="10" t="inlineStr">
        <is>
          <t>EXPLICITO</t>
        </is>
      </c>
      <c r="F162" s="10" t="inlineStr">
        <is>
          <t>Imágenes de zonas</t>
        </is>
      </c>
      <c r="G162" s="12">
        <f>IF(B162="","",IFERROR(INDEX(ref_preguntas!$C$2:$C$200,MATCH(B162,ref_preguntas!$A$2:$A$200,0)),"ID no existe"))</f>
        <v/>
      </c>
    </row>
    <row r="163">
      <c r="A163" s="10" t="inlineStr">
        <is>
          <t>MH-013</t>
        </is>
      </c>
      <c r="B163" s="10" t="inlineStr">
        <is>
          <t>P13</t>
        </is>
      </c>
      <c r="C163" s="10" t="inlineStr"/>
      <c r="D163" s="10" t="inlineStr">
        <is>
          <t>OTRO</t>
        </is>
      </c>
      <c r="E163" s="10" t="inlineStr">
        <is>
          <t>EXPLICITO</t>
        </is>
      </c>
      <c r="F163" s="10" t="inlineStr">
        <is>
          <t>Speedtest</t>
        </is>
      </c>
      <c r="G163" s="12">
        <f>IF(B163="","",IFERROR(INDEX(ref_preguntas!$C$2:$C$200,MATCH(B163,ref_preguntas!$A$2:$A$200,0)),"ID no existe"))</f>
        <v/>
      </c>
    </row>
    <row r="164">
      <c r="A164" s="10" t="inlineStr">
        <is>
          <t>MH-013</t>
        </is>
      </c>
      <c r="B164" s="10" t="inlineStr">
        <is>
          <t>P18</t>
        </is>
      </c>
      <c r="C164" s="10" t="inlineStr"/>
      <c r="D164" s="10" t="inlineStr">
        <is>
          <t>CAJA</t>
        </is>
      </c>
      <c r="E164" s="10" t="inlineStr">
        <is>
          <t>EXPLICITO</t>
        </is>
      </c>
      <c r="F164" s="10" t="inlineStr">
        <is>
          <t>Router principal en caja</t>
        </is>
      </c>
      <c r="G164" s="12">
        <f>IF(B164="","",IFERROR(INDEX(ref_preguntas!$C$2:$C$200,MATCH(B164,ref_preguntas!$A$2:$A$200,0)),"ID no existe"))</f>
        <v/>
      </c>
    </row>
    <row r="165">
      <c r="A165" s="10" t="inlineStr">
        <is>
          <t>MH-013</t>
        </is>
      </c>
      <c r="B165" s="10" t="inlineStr">
        <is>
          <t>P26</t>
        </is>
      </c>
      <c r="C165" s="10" t="inlineStr"/>
      <c r="D165" s="10" t="inlineStr">
        <is>
          <t>2</t>
        </is>
      </c>
      <c r="E165" s="10" t="inlineStr">
        <is>
          <t>EXPLICITO</t>
        </is>
      </c>
      <c r="F165" s="10" t="inlineStr">
        <is>
          <t>Impresoras</t>
        </is>
      </c>
      <c r="G165" s="12">
        <f>IF(B165="","",IFERROR(INDEX(ref_preguntas!$C$2:$C$200,MATCH(B165,ref_preguntas!$A$2:$A$200,0)),"ID no existe"))</f>
        <v/>
      </c>
    </row>
    <row r="166">
      <c r="A166" s="10" t="inlineStr">
        <is>
          <t>MH-013</t>
        </is>
      </c>
      <c r="B166" s="10" t="inlineStr">
        <is>
          <t>P51</t>
        </is>
      </c>
      <c r="C166" s="10" t="inlineStr"/>
      <c r="D166" s="10" t="inlineStr">
        <is>
          <t>ID: Sera G., Yomira Mora · Cliente: Fernando</t>
        </is>
      </c>
      <c r="E166" s="10" t="inlineStr">
        <is>
          <t>EXPLICITO</t>
        </is>
      </c>
      <c r="F166" s="10" t="inlineStr">
        <is>
          <t>Asistentes</t>
        </is>
      </c>
      <c r="G166" s="12">
        <f>IF(B166="","",IFERROR(INDEX(ref_preguntas!$C$2:$C$200,MATCH(B166,ref_preguntas!$A$2:$A$200,0)),"ID no existe"))</f>
        <v/>
      </c>
    </row>
    <row r="167">
      <c r="A167" s="10" t="inlineStr">
        <is>
          <t>MH-013</t>
        </is>
      </c>
      <c r="B167" s="10" t="inlineStr">
        <is>
          <t>P10</t>
        </is>
      </c>
      <c r="C167" s="10" t="inlineStr"/>
      <c r="D167" s="10" t="inlineStr">
        <is>
          <t>3</t>
        </is>
      </c>
      <c r="E167" s="10" t="inlineStr">
        <is>
          <t>EXPLICITO</t>
        </is>
      </c>
      <c r="F167" s="10" t="inlineStr">
        <is>
          <t>Salones por piso</t>
        </is>
      </c>
      <c r="G167" s="12">
        <f>IF(B167="","",IFERROR(INDEX(ref_preguntas!$C$2:$C$200,MATCH(B167,ref_preguntas!$A$2:$A$200,0)),"ID no existe"))</f>
        <v/>
      </c>
    </row>
    <row r="168">
      <c r="A168" s="10" t="inlineStr">
        <is>
          <t>MH-013</t>
        </is>
      </c>
      <c r="B168" s="10" t="inlineStr">
        <is>
          <t>P14</t>
        </is>
      </c>
      <c r="C168" s="10" t="inlineStr"/>
      <c r="D168" s="10" t="inlineStr">
        <is>
          <t>FIBRA</t>
        </is>
      </c>
      <c r="E168" s="10" t="inlineStr">
        <is>
          <t>EXPLICITO</t>
        </is>
      </c>
      <c r="F168" s="10" t="inlineStr">
        <is>
          <t>Router conectado a fibra óptica</t>
        </is>
      </c>
      <c r="G168" s="12">
        <f>IF(B168="","",IFERROR(INDEX(ref_preguntas!$C$2:$C$200,MATCH(B168,ref_preguntas!$A$2:$A$200,0)),"ID no existe"))</f>
        <v/>
      </c>
    </row>
    <row r="169">
      <c r="A169" s="10" t="inlineStr">
        <is>
          <t>MH-013</t>
        </is>
      </c>
      <c r="B169" s="10" t="inlineStr">
        <is>
          <t>P45</t>
        </is>
      </c>
      <c r="C169" s="10" t="inlineStr"/>
      <c r="D169" s="10" t="inlineStr">
        <is>
          <t>SI</t>
        </is>
      </c>
      <c r="E169" s="10" t="inlineStr">
        <is>
          <t>EXPLICITO</t>
        </is>
      </c>
      <c r="F169" s="10" t="inlineStr">
        <is>
          <t>Repetidores barra piso 2</t>
        </is>
      </c>
      <c r="G169" s="12">
        <f>IF(B169="","",IFERROR(INDEX(ref_preguntas!$C$2:$C$200,MATCH(B169,ref_preguntas!$A$2:$A$200,0)),"ID no existe"))</f>
        <v/>
      </c>
    </row>
    <row r="170">
      <c r="A170" s="10" t="inlineStr">
        <is>
          <t>MH-013</t>
        </is>
      </c>
      <c r="B170" s="10" t="inlineStr">
        <is>
          <t>P25</t>
        </is>
      </c>
      <c r="C170" s="10" t="inlineStr"/>
      <c r="D170" s="10" t="inlineStr">
        <is>
          <t>CAJA, COCINA, BRASAS, BAR</t>
        </is>
      </c>
      <c r="E170" s="10" t="inlineStr">
        <is>
          <t>INFERIDO</t>
        </is>
      </c>
      <c r="F170" s="10" t="inlineStr">
        <is>
          <t>Barra prepara bebidas sin comandas</t>
        </is>
      </c>
      <c r="G170" s="12">
        <f>IF(B170="","",IFERROR(INDEX(ref_preguntas!$C$2:$C$200,MATCH(B170,ref_preguntas!$A$2:$A$200,0)),"ID no existe"))</f>
        <v/>
      </c>
    </row>
    <row r="171">
      <c r="A171" s="10" t="inlineStr">
        <is>
          <t>MH-013</t>
        </is>
      </c>
      <c r="B171" s="10" t="inlineStr">
        <is>
          <t>P12a</t>
        </is>
      </c>
      <c r="C171" s="10" t="inlineStr"/>
      <c r="D171" s="10" t="inlineStr">
        <is>
          <t>SI</t>
        </is>
      </c>
      <c r="E171" s="10" t="inlineStr">
        <is>
          <t>EXPLICITO</t>
        </is>
      </c>
      <c r="F171" s="10" t="inlineStr">
        <is>
          <t>Comandas y pre-cuentas</t>
        </is>
      </c>
      <c r="G171" s="12">
        <f>IF(B171="","",IFERROR(INDEX(ref_preguntas!$C$2:$C$200,MATCH(B171,ref_preguntas!$A$2:$A$200,0)),"ID no existe"))</f>
        <v/>
      </c>
    </row>
    <row r="172">
      <c r="A172" s="10" t="inlineStr">
        <is>
          <t>MH-013</t>
        </is>
      </c>
      <c r="B172" s="10" t="inlineStr">
        <is>
          <t>P09</t>
        </is>
      </c>
      <c r="C172" s="10" t="inlineStr"/>
      <c r="D172" s="10" t="inlineStr">
        <is>
          <t>POLLERIA</t>
        </is>
      </c>
      <c r="E172" s="10" t="inlineStr">
        <is>
          <t>EXPLICITO</t>
        </is>
      </c>
      <c r="F172" s="10" t="inlineStr">
        <is>
          <t>Rubro confirmado por el equipo (2026-10-10)</t>
        </is>
      </c>
      <c r="G172" s="12">
        <f>IF(B172="","",IFERROR(INDEX(ref_preguntas!$C$2:$C$200,MATCH(B172,ref_preguntas!$A$2:$A$200,0)),"ID no existe"))</f>
        <v/>
      </c>
    </row>
    <row r="173">
      <c r="A173" s="10" t="inlineStr">
        <is>
          <t>MH-014</t>
        </is>
      </c>
      <c r="B173" s="10" t="inlineStr">
        <is>
          <t>P01</t>
        </is>
      </c>
      <c r="C173" s="10" t="inlineStr"/>
      <c r="D173" s="10" t="inlineStr">
        <is>
          <t>Rikoton</t>
        </is>
      </c>
      <c r="E173" s="10" t="inlineStr">
        <is>
          <t>INFERIDO</t>
        </is>
      </c>
      <c r="F173" s="10" t="inlineStr">
        <is>
          <t>Rikoton (RKT); el nombre comercial aparece en RKT Hacienda</t>
        </is>
      </c>
      <c r="G173" s="12">
        <f>IF(B173="","",IFERROR(INDEX(ref_preguntas!$C$2:$C$200,MATCH(B173,ref_preguntas!$A$2:$A$200,0)),"ID no existe"))</f>
        <v/>
      </c>
    </row>
    <row r="174">
      <c r="A174" s="10" t="inlineStr">
        <is>
          <t>MH-014</t>
        </is>
      </c>
      <c r="B174" s="10" t="inlineStr">
        <is>
          <t>P02</t>
        </is>
      </c>
      <c r="C174" s="10" t="inlineStr"/>
      <c r="D174" s="10" t="inlineStr">
        <is>
          <t>RKT Villa Flores</t>
        </is>
      </c>
      <c r="E174" s="10" t="inlineStr">
        <is>
          <t>EXPLICITO</t>
        </is>
      </c>
      <c r="F174" s="10" t="inlineStr">
        <is>
          <t>Título</t>
        </is>
      </c>
      <c r="G174" s="12">
        <f>IF(B174="","",IFERROR(INDEX(ref_preguntas!$C$2:$C$200,MATCH(B174,ref_preguntas!$A$2:$A$200,0)),"ID no existe"))</f>
        <v/>
      </c>
    </row>
    <row r="175">
      <c r="A175" s="10" t="inlineStr">
        <is>
          <t>MH-014</t>
        </is>
      </c>
      <c r="B175" s="10" t="inlineStr">
        <is>
          <t>P03</t>
        </is>
      </c>
      <c r="C175" s="10" t="inlineStr"/>
      <c r="D175" s="10" t="inlineStr">
        <is>
          <t>Av. Santa Rosa de Lima Mz. T3 Lt. 33, San Juan de Lurigancho</t>
        </is>
      </c>
      <c r="E175" s="10" t="inlineStr">
        <is>
          <t>EXPLICITO</t>
        </is>
      </c>
      <c r="F175" s="10" t="inlineStr">
        <is>
          <t>Dirección</t>
        </is>
      </c>
      <c r="G175" s="12">
        <f>IF(B175="","",IFERROR(INDEX(ref_preguntas!$C$2:$C$200,MATCH(B175,ref_preguntas!$A$2:$A$200,0)),"ID no existe"))</f>
        <v/>
      </c>
    </row>
    <row r="176">
      <c r="A176" s="10" t="inlineStr">
        <is>
          <t>MH-014</t>
        </is>
      </c>
      <c r="B176" s="10" t="inlineStr">
        <is>
          <t>P04</t>
        </is>
      </c>
      <c r="C176" s="10" t="inlineStr"/>
      <c r="D176" s="10" t="inlineStr">
        <is>
          <t>Fernando</t>
        </is>
      </c>
      <c r="E176" s="10" t="inlineStr">
        <is>
          <t>EXPLICITO</t>
        </is>
      </c>
      <c r="F176" s="10" t="inlineStr">
        <is>
          <t>Team cliente</t>
        </is>
      </c>
      <c r="G176" s="12">
        <f>IF(B176="","",IFERROR(INDEX(ref_preguntas!$C$2:$C$200,MATCH(B176,ref_preguntas!$A$2:$A$200,0)),"ID no existe"))</f>
        <v/>
      </c>
    </row>
    <row r="177">
      <c r="A177" s="10" t="inlineStr">
        <is>
          <t>MH-014</t>
        </is>
      </c>
      <c r="B177" s="10" t="inlineStr">
        <is>
          <t>P06</t>
        </is>
      </c>
      <c r="C177" s="10" t="inlineStr"/>
      <c r="D177" s="10" t="inlineStr">
        <is>
          <t>2025-06-11</t>
        </is>
      </c>
      <c r="E177" s="10" t="inlineStr">
        <is>
          <t>EXPLICITO</t>
        </is>
      </c>
      <c r="F177" s="10" t="inlineStr">
        <is>
          <t>Fecha y hora</t>
        </is>
      </c>
      <c r="G177" s="12">
        <f>IF(B177="","",IFERROR(INDEX(ref_preguntas!$C$2:$C$200,MATCH(B177,ref_preguntas!$A$2:$A$200,0)),"ID no existe"))</f>
        <v/>
      </c>
    </row>
    <row r="178">
      <c r="A178" s="10" t="inlineStr">
        <is>
          <t>MH-014</t>
        </is>
      </c>
      <c r="B178" s="10" t="inlineStr">
        <is>
          <t>P11</t>
        </is>
      </c>
      <c r="C178" s="10" t="inlineStr"/>
      <c r="D178" s="10" t="inlineStr">
        <is>
          <t>SALON_1, CAJA, COCINA, BRASAS</t>
        </is>
      </c>
      <c r="E178" s="10" t="inlineStr">
        <is>
          <t>EXPLICITO</t>
        </is>
      </c>
      <c r="F178" s="10" t="inlineStr">
        <is>
          <t>Imágenes de zonas</t>
        </is>
      </c>
      <c r="G178" s="12">
        <f>IF(B178="","",IFERROR(INDEX(ref_preguntas!$C$2:$C$200,MATCH(B178,ref_preguntas!$A$2:$A$200,0)),"ID no existe"))</f>
        <v/>
      </c>
    </row>
    <row r="179">
      <c r="A179" s="10" t="inlineStr">
        <is>
          <t>MH-014</t>
        </is>
      </c>
      <c r="B179" s="10" t="inlineStr">
        <is>
          <t>P13</t>
        </is>
      </c>
      <c r="C179" s="10" t="inlineStr"/>
      <c r="D179" s="10" t="inlineStr">
        <is>
          <t>OTRO</t>
        </is>
      </c>
      <c r="E179" s="10" t="inlineStr">
        <is>
          <t>EXPLICITO</t>
        </is>
      </c>
      <c r="F179" s="10" t="inlineStr">
        <is>
          <t>Speedtest</t>
        </is>
      </c>
      <c r="G179" s="12">
        <f>IF(B179="","",IFERROR(INDEX(ref_preguntas!$C$2:$C$200,MATCH(B179,ref_preguntas!$A$2:$A$200,0)),"ID no existe"))</f>
        <v/>
      </c>
    </row>
    <row r="180">
      <c r="A180" s="10" t="inlineStr">
        <is>
          <t>MH-014</t>
        </is>
      </c>
      <c r="B180" s="10" t="inlineStr">
        <is>
          <t>P26</t>
        </is>
      </c>
      <c r="C180" s="10" t="inlineStr"/>
      <c r="D180" s="10" t="inlineStr">
        <is>
          <t>2</t>
        </is>
      </c>
      <c r="E180" s="10" t="inlineStr">
        <is>
          <t>EXPLICITO</t>
        </is>
      </c>
      <c r="F180" s="10" t="inlineStr">
        <is>
          <t>Impresoras</t>
        </is>
      </c>
      <c r="G180" s="12">
        <f>IF(B180="","",IFERROR(INDEX(ref_preguntas!$C$2:$C$200,MATCH(B180,ref_preguntas!$A$2:$A$200,0)),"ID no existe"))</f>
        <v/>
      </c>
    </row>
    <row r="181">
      <c r="A181" s="10" t="inlineStr">
        <is>
          <t>MH-014</t>
        </is>
      </c>
      <c r="B181" s="10" t="inlineStr">
        <is>
          <t>P51</t>
        </is>
      </c>
      <c r="C181" s="10" t="inlineStr"/>
      <c r="D181" s="10" t="inlineStr">
        <is>
          <t>ID: Sera G., Yomira Mora · Cliente: Fernando</t>
        </is>
      </c>
      <c r="E181" s="10" t="inlineStr">
        <is>
          <t>EXPLICITO</t>
        </is>
      </c>
      <c r="F181" s="10" t="inlineStr">
        <is>
          <t>Asistentes</t>
        </is>
      </c>
      <c r="G181" s="12">
        <f>IF(B181="","",IFERROR(INDEX(ref_preguntas!$C$2:$C$200,MATCH(B181,ref_preguntas!$A$2:$A$200,0)),"ID no existe"))</f>
        <v/>
      </c>
    </row>
    <row r="182">
      <c r="A182" s="10" t="inlineStr">
        <is>
          <t>MH-014</t>
        </is>
      </c>
      <c r="B182" s="10" t="inlineStr">
        <is>
          <t>P27</t>
        </is>
      </c>
      <c r="C182" s="10" t="inlineStr">
        <is>
          <t>L_IMPRESORAS:1</t>
        </is>
      </c>
      <c r="D182" s="10" t="inlineStr">
        <is>
          <t>CAJA</t>
        </is>
      </c>
      <c r="E182" s="10" t="inlineStr">
        <is>
          <t>EXPLICITO</t>
        </is>
      </c>
      <c r="F182" s="10" t="inlineStr">
        <is>
          <t>Impresoras</t>
        </is>
      </c>
      <c r="G182" s="12">
        <f>IF(B182="","",IFERROR(INDEX(ref_preguntas!$C$2:$C$200,MATCH(B182,ref_preguntas!$A$2:$A$200,0)),"ID no existe"))</f>
        <v/>
      </c>
    </row>
    <row r="183">
      <c r="A183" s="10" t="inlineStr">
        <is>
          <t>MH-014</t>
        </is>
      </c>
      <c r="B183" s="10" t="inlineStr">
        <is>
          <t>P30</t>
        </is>
      </c>
      <c r="C183" s="10" t="inlineStr">
        <is>
          <t>L_IMPRESORAS:1</t>
        </is>
      </c>
      <c r="D183" s="10" t="inlineStr">
        <is>
          <t>USB</t>
        </is>
      </c>
      <c r="E183" s="10" t="inlineStr">
        <is>
          <t>EXPLICITO</t>
        </is>
      </c>
      <c r="F183" s="10" t="inlineStr">
        <is>
          <t>Caja (USB)</t>
        </is>
      </c>
      <c r="G183" s="12">
        <f>IF(B183="","",IFERROR(INDEX(ref_preguntas!$C$2:$C$200,MATCH(B183,ref_preguntas!$A$2:$A$200,0)),"ID no existe"))</f>
        <v/>
      </c>
    </row>
    <row r="184">
      <c r="A184" s="10" t="inlineStr">
        <is>
          <t>MH-014</t>
        </is>
      </c>
      <c r="B184" s="10" t="inlineStr">
        <is>
          <t>P12a</t>
        </is>
      </c>
      <c r="C184" s="10" t="inlineStr"/>
      <c r="D184" s="10" t="inlineStr">
        <is>
          <t>SI</t>
        </is>
      </c>
      <c r="E184" s="10" t="inlineStr">
        <is>
          <t>EXPLICITO</t>
        </is>
      </c>
      <c r="F184" s="10" t="inlineStr">
        <is>
          <t>Uso de comandas</t>
        </is>
      </c>
      <c r="G184" s="12">
        <f>IF(B184="","",IFERROR(INDEX(ref_preguntas!$C$2:$C$200,MATCH(B184,ref_preguntas!$A$2:$A$200,0)),"ID no existe"))</f>
        <v/>
      </c>
    </row>
    <row r="185">
      <c r="A185" s="10" t="inlineStr">
        <is>
          <t>MH-014</t>
        </is>
      </c>
      <c r="B185" s="10" t="inlineStr">
        <is>
          <t>P18a</t>
        </is>
      </c>
      <c r="C185" s="10" t="inlineStr"/>
      <c r="D185" s="10" t="inlineStr">
        <is>
          <t>0</t>
        </is>
      </c>
      <c r="E185" s="10" t="inlineStr">
        <is>
          <t>EXPLICITO</t>
        </is>
      </c>
      <c r="F185" s="10" t="inlineStr">
        <is>
          <t>Router principal sin puertos libres</t>
        </is>
      </c>
      <c r="G185" s="12">
        <f>IF(B185="","",IFERROR(INDEX(ref_preguntas!$C$2:$C$200,MATCH(B185,ref_preguntas!$A$2:$A$200,0)),"ID no existe"))</f>
        <v/>
      </c>
    </row>
    <row r="186">
      <c r="A186" s="10" t="inlineStr">
        <is>
          <t>MH-014</t>
        </is>
      </c>
      <c r="B186" s="10" t="inlineStr">
        <is>
          <t>P09</t>
        </is>
      </c>
      <c r="C186" s="10" t="inlineStr"/>
      <c r="D186" s="10" t="inlineStr">
        <is>
          <t>POLLERIA</t>
        </is>
      </c>
      <c r="E186" s="10" t="inlineStr">
        <is>
          <t>EXPLICITO</t>
        </is>
      </c>
      <c r="F186" s="10" t="inlineStr">
        <is>
          <t>Rubro confirmado por el equipo (2026-10-10)</t>
        </is>
      </c>
      <c r="G186" s="12">
        <f>IF(B186="","",IFERROR(INDEX(ref_preguntas!$C$2:$C$200,MATCH(B186,ref_preguntas!$A$2:$A$200,0)),"ID no existe"))</f>
        <v/>
      </c>
    </row>
    <row r="187">
      <c r="A187" s="10" t="inlineStr">
        <is>
          <t>MH-015</t>
        </is>
      </c>
      <c r="B187" s="10" t="inlineStr">
        <is>
          <t>P01</t>
        </is>
      </c>
      <c r="C187" s="10" t="inlineStr"/>
      <c r="D187" s="10" t="inlineStr">
        <is>
          <t>Rikoton</t>
        </is>
      </c>
      <c r="E187" s="10" t="inlineStr">
        <is>
          <t>INFERIDO</t>
        </is>
      </c>
      <c r="F187" s="10" t="inlineStr">
        <is>
          <t>Rikoton (RKT); el nombre comercial aparece en RKT Hacienda</t>
        </is>
      </c>
      <c r="G187" s="12">
        <f>IF(B187="","",IFERROR(INDEX(ref_preguntas!$C$2:$C$200,MATCH(B187,ref_preguntas!$A$2:$A$200,0)),"ID no existe"))</f>
        <v/>
      </c>
    </row>
    <row r="188">
      <c r="A188" s="10" t="inlineStr">
        <is>
          <t>MH-015</t>
        </is>
      </c>
      <c r="B188" s="10" t="inlineStr">
        <is>
          <t>P02</t>
        </is>
      </c>
      <c r="C188" s="10" t="inlineStr"/>
      <c r="D188" s="10" t="inlineStr">
        <is>
          <t>RKT Zárate</t>
        </is>
      </c>
      <c r="E188" s="10" t="inlineStr">
        <is>
          <t>EXPLICITO</t>
        </is>
      </c>
      <c r="F188" s="10" t="inlineStr">
        <is>
          <t>Título</t>
        </is>
      </c>
      <c r="G188" s="12">
        <f>IF(B188="","",IFERROR(INDEX(ref_preguntas!$C$2:$C$200,MATCH(B188,ref_preguntas!$A$2:$A$200,0)),"ID no existe"))</f>
        <v/>
      </c>
    </row>
    <row r="189">
      <c r="A189" s="10" t="inlineStr">
        <is>
          <t>MH-015</t>
        </is>
      </c>
      <c r="B189" s="10" t="inlineStr">
        <is>
          <t>P03</t>
        </is>
      </c>
      <c r="C189" s="10" t="inlineStr"/>
      <c r="D189" s="10" t="inlineStr">
        <is>
          <t>Av. Chimú 1599, Urb. Zárate, San Juan de Lurigancho</t>
        </is>
      </c>
      <c r="E189" s="10" t="inlineStr">
        <is>
          <t>EXPLICITO</t>
        </is>
      </c>
      <c r="F189" s="10" t="inlineStr">
        <is>
          <t>Dirección</t>
        </is>
      </c>
      <c r="G189" s="12">
        <f>IF(B189="","",IFERROR(INDEX(ref_preguntas!$C$2:$C$200,MATCH(B189,ref_preguntas!$A$2:$A$200,0)),"ID no existe"))</f>
        <v/>
      </c>
    </row>
    <row r="190">
      <c r="A190" s="10" t="inlineStr">
        <is>
          <t>MH-015</t>
        </is>
      </c>
      <c r="B190" s="10" t="inlineStr">
        <is>
          <t>P04</t>
        </is>
      </c>
      <c r="C190" s="10" t="inlineStr"/>
      <c r="D190" s="10" t="inlineStr">
        <is>
          <t>Fernando</t>
        </is>
      </c>
      <c r="E190" s="10" t="inlineStr">
        <is>
          <t>EXPLICITO</t>
        </is>
      </c>
      <c r="F190" s="10" t="inlineStr">
        <is>
          <t>Team cliente</t>
        </is>
      </c>
      <c r="G190" s="12">
        <f>IF(B190="","",IFERROR(INDEX(ref_preguntas!$C$2:$C$200,MATCH(B190,ref_preguntas!$A$2:$A$200,0)),"ID no existe"))</f>
        <v/>
      </c>
    </row>
    <row r="191">
      <c r="A191" s="10" t="inlineStr">
        <is>
          <t>MH-015</t>
        </is>
      </c>
      <c r="B191" s="10" t="inlineStr">
        <is>
          <t>P06</t>
        </is>
      </c>
      <c r="C191" s="10" t="inlineStr"/>
      <c r="D191" s="10" t="inlineStr">
        <is>
          <t>2025-06-11</t>
        </is>
      </c>
      <c r="E191" s="10" t="inlineStr">
        <is>
          <t>EXPLICITO</t>
        </is>
      </c>
      <c r="F191" s="10" t="inlineStr">
        <is>
          <t>Fecha y hora</t>
        </is>
      </c>
      <c r="G191" s="12">
        <f>IF(B191="","",IFERROR(INDEX(ref_preguntas!$C$2:$C$200,MATCH(B191,ref_preguntas!$A$2:$A$200,0)),"ID no existe"))</f>
        <v/>
      </c>
    </row>
    <row r="192">
      <c r="A192" s="10" t="inlineStr">
        <is>
          <t>MH-015</t>
        </is>
      </c>
      <c r="B192" s="10" t="inlineStr">
        <is>
          <t>P11</t>
        </is>
      </c>
      <c r="C192" s="10" t="inlineStr"/>
      <c r="D192" s="10" t="inlineStr">
        <is>
          <t>SALON_1, SALON_2, BAR, CAJA, BRASAS, COCINA</t>
        </is>
      </c>
      <c r="E192" s="10" t="inlineStr">
        <is>
          <t>EXPLICITO</t>
        </is>
      </c>
      <c r="F192" s="10" t="inlineStr">
        <is>
          <t>Imágenes de zonas</t>
        </is>
      </c>
      <c r="G192" s="12">
        <f>IF(B192="","",IFERROR(INDEX(ref_preguntas!$C$2:$C$200,MATCH(B192,ref_preguntas!$A$2:$A$200,0)),"ID no existe"))</f>
        <v/>
      </c>
    </row>
    <row r="193">
      <c r="A193" s="10" t="inlineStr">
        <is>
          <t>MH-015</t>
        </is>
      </c>
      <c r="B193" s="10" t="inlineStr">
        <is>
          <t>P13</t>
        </is>
      </c>
      <c r="C193" s="10" t="inlineStr"/>
      <c r="D193" s="10" t="inlineStr">
        <is>
          <t>OTRO</t>
        </is>
      </c>
      <c r="E193" s="10" t="inlineStr">
        <is>
          <t>EXPLICITO</t>
        </is>
      </c>
      <c r="F193" s="10" t="inlineStr">
        <is>
          <t>Speedtest</t>
        </is>
      </c>
      <c r="G193" s="12">
        <f>IF(B193="","",IFERROR(INDEX(ref_preguntas!$C$2:$C$200,MATCH(B193,ref_preguntas!$A$2:$A$200,0)),"ID no existe"))</f>
        <v/>
      </c>
    </row>
    <row r="194">
      <c r="A194" s="10" t="inlineStr">
        <is>
          <t>MH-015</t>
        </is>
      </c>
      <c r="B194" s="10" t="inlineStr">
        <is>
          <t>P26</t>
        </is>
      </c>
      <c r="C194" s="10" t="inlineStr"/>
      <c r="D194" s="10" t="inlineStr">
        <is>
          <t>3</t>
        </is>
      </c>
      <c r="E194" s="10" t="inlineStr">
        <is>
          <t>EXPLICITO</t>
        </is>
      </c>
      <c r="F194" s="10" t="inlineStr">
        <is>
          <t>Impresoras</t>
        </is>
      </c>
      <c r="G194" s="12">
        <f>IF(B194="","",IFERROR(INDEX(ref_preguntas!$C$2:$C$200,MATCH(B194,ref_preguntas!$A$2:$A$200,0)),"ID no existe"))</f>
        <v/>
      </c>
    </row>
    <row r="195">
      <c r="A195" s="10" t="inlineStr">
        <is>
          <t>MH-015</t>
        </is>
      </c>
      <c r="B195" s="10" t="inlineStr">
        <is>
          <t>P51</t>
        </is>
      </c>
      <c r="C195" s="10" t="inlineStr"/>
      <c r="D195" s="10" t="inlineStr">
        <is>
          <t>ID: Sera G., Yomira Mora · Cliente: Fernando</t>
        </is>
      </c>
      <c r="E195" s="10" t="inlineStr">
        <is>
          <t>EXPLICITO</t>
        </is>
      </c>
      <c r="F195" s="10" t="inlineStr">
        <is>
          <t>Asistentes</t>
        </is>
      </c>
      <c r="G195" s="12">
        <f>IF(B195="","",IFERROR(INDEX(ref_preguntas!$C$2:$C$200,MATCH(B195,ref_preguntas!$A$2:$A$200,0)),"ID no existe"))</f>
        <v/>
      </c>
    </row>
    <row r="196">
      <c r="A196" s="10" t="inlineStr">
        <is>
          <t>MH-015</t>
        </is>
      </c>
      <c r="B196" s="10" t="inlineStr">
        <is>
          <t>P10</t>
        </is>
      </c>
      <c r="C196" s="10" t="inlineStr"/>
      <c r="D196" s="10" t="inlineStr">
        <is>
          <t>2</t>
        </is>
      </c>
      <c r="E196" s="10" t="inlineStr">
        <is>
          <t>EXPLICITO</t>
        </is>
      </c>
      <c r="F196" s="10" t="inlineStr">
        <is>
          <t>Salones por piso</t>
        </is>
      </c>
      <c r="G196" s="12">
        <f>IF(B196="","",IFERROR(INDEX(ref_preguntas!$C$2:$C$200,MATCH(B196,ref_preguntas!$A$2:$A$200,0)),"ID no existe"))</f>
        <v/>
      </c>
    </row>
    <row r="197">
      <c r="A197" s="10" t="inlineStr">
        <is>
          <t>MH-015</t>
        </is>
      </c>
      <c r="B197" s="10" t="inlineStr">
        <is>
          <t>P45</t>
        </is>
      </c>
      <c r="C197" s="10" t="inlineStr"/>
      <c r="D197" s="10" t="inlineStr">
        <is>
          <t>SI</t>
        </is>
      </c>
      <c r="E197" s="10" t="inlineStr">
        <is>
          <t>EXPLICITO</t>
        </is>
      </c>
      <c r="F197" s="10" t="inlineStr">
        <is>
          <t>Repetidor</t>
        </is>
      </c>
      <c r="G197" s="12">
        <f>IF(B197="","",IFERROR(INDEX(ref_preguntas!$C$2:$C$200,MATCH(B197,ref_preguntas!$A$2:$A$200,0)),"ID no existe"))</f>
        <v/>
      </c>
    </row>
    <row r="198">
      <c r="A198" s="10" t="inlineStr">
        <is>
          <t>MH-015</t>
        </is>
      </c>
      <c r="B198" s="10" t="inlineStr">
        <is>
          <t>P12a</t>
        </is>
      </c>
      <c r="C198" s="10" t="inlineStr"/>
      <c r="D198" s="10" t="inlineStr">
        <is>
          <t>SI</t>
        </is>
      </c>
      <c r="E198" s="10" t="inlineStr">
        <is>
          <t>EXPLICITO</t>
        </is>
      </c>
      <c r="F198" s="10" t="inlineStr">
        <is>
          <t>Para contar con comandas</t>
        </is>
      </c>
      <c r="G198" s="12">
        <f>IF(B198="","",IFERROR(INDEX(ref_preguntas!$C$2:$C$200,MATCH(B198,ref_preguntas!$A$2:$A$200,0)),"ID no existe"))</f>
        <v/>
      </c>
    </row>
    <row r="199">
      <c r="A199" s="10" t="inlineStr">
        <is>
          <t>MH-015</t>
        </is>
      </c>
      <c r="B199" s="10" t="inlineStr">
        <is>
          <t>P09</t>
        </is>
      </c>
      <c r="C199" s="10" t="inlineStr"/>
      <c r="D199" s="10" t="inlineStr">
        <is>
          <t>POLLERIA</t>
        </is>
      </c>
      <c r="E199" s="10" t="inlineStr">
        <is>
          <t>EXPLICITO</t>
        </is>
      </c>
      <c r="F199" s="10" t="inlineStr">
        <is>
          <t>Rubro confirmado por el equipo (2026-10-10)</t>
        </is>
      </c>
      <c r="G199" s="12">
        <f>IF(B199="","",IFERROR(INDEX(ref_preguntas!$C$2:$C$200,MATCH(B199,ref_preguntas!$A$2:$A$200,0)),"ID no existe"))</f>
        <v/>
      </c>
    </row>
    <row r="200">
      <c r="A200" s="10" t="inlineStr">
        <is>
          <t>MH-016</t>
        </is>
      </c>
      <c r="B200" s="10" t="inlineStr">
        <is>
          <t>P01</t>
        </is>
      </c>
      <c r="C200" s="10" t="inlineStr"/>
      <c r="D200" s="10" t="inlineStr">
        <is>
          <t>Gelato Alore</t>
        </is>
      </c>
      <c r="E200" s="10" t="inlineStr">
        <is>
          <t>EXPLICITO</t>
        </is>
      </c>
      <c r="F200" s="10" t="inlineStr">
        <is>
          <t>Título</t>
        </is>
      </c>
      <c r="G200" s="12">
        <f>IF(B200="","",IFERROR(INDEX(ref_preguntas!$C$2:$C$200,MATCH(B200,ref_preguntas!$A$2:$A$200,0)),"ID no existe"))</f>
        <v/>
      </c>
    </row>
    <row r="201">
      <c r="A201" s="10" t="inlineStr">
        <is>
          <t>MH-016</t>
        </is>
      </c>
      <c r="B201" s="10" t="inlineStr">
        <is>
          <t>P02</t>
        </is>
      </c>
      <c r="C201" s="10" t="inlineStr"/>
      <c r="D201" s="10" t="inlineStr">
        <is>
          <t>Gelato Alore Miguel Dasso</t>
        </is>
      </c>
      <c r="E201" s="10" t="inlineStr">
        <is>
          <t>EXPLICITO</t>
        </is>
      </c>
      <c r="F201" s="10" t="inlineStr">
        <is>
          <t>Título</t>
        </is>
      </c>
      <c r="G201" s="12">
        <f>IF(B201="","",IFERROR(INDEX(ref_preguntas!$C$2:$C$200,MATCH(B201,ref_preguntas!$A$2:$A$200,0)),"ID no existe"))</f>
        <v/>
      </c>
    </row>
    <row r="202">
      <c r="A202" s="10" t="inlineStr">
        <is>
          <t>MH-016</t>
        </is>
      </c>
      <c r="B202" s="10" t="inlineStr">
        <is>
          <t>P03</t>
        </is>
      </c>
      <c r="C202" s="10" t="inlineStr"/>
      <c r="D202" s="10" t="inlineStr">
        <is>
          <t>C.C. Sausalito, C. Miguel Dasso 126, San Isidro 15073</t>
        </is>
      </c>
      <c r="E202" s="10" t="inlineStr">
        <is>
          <t>EXPLICITO</t>
        </is>
      </c>
      <c r="F202" s="10" t="inlineStr">
        <is>
          <t>Dirección</t>
        </is>
      </c>
      <c r="G202" s="12">
        <f>IF(B202="","",IFERROR(INDEX(ref_preguntas!$C$2:$C$200,MATCH(B202,ref_preguntas!$A$2:$A$200,0)),"ID no existe"))</f>
        <v/>
      </c>
    </row>
    <row r="203">
      <c r="A203" s="10" t="inlineStr">
        <is>
          <t>MH-016</t>
        </is>
      </c>
      <c r="B203" s="10" t="inlineStr">
        <is>
          <t>P04</t>
        </is>
      </c>
      <c r="C203" s="10" t="inlineStr"/>
      <c r="D203" s="10" t="inlineStr">
        <is>
          <t>Roxana Sujara</t>
        </is>
      </c>
      <c r="E203" s="10" t="inlineStr">
        <is>
          <t>EXPLICITO</t>
        </is>
      </c>
      <c r="F203" s="10" t="inlineStr">
        <is>
          <t>Team cliente</t>
        </is>
      </c>
      <c r="G203" s="12">
        <f>IF(B203="","",IFERROR(INDEX(ref_preguntas!$C$2:$C$200,MATCH(B203,ref_preguntas!$A$2:$A$200,0)),"ID no existe"))</f>
        <v/>
      </c>
    </row>
    <row r="204">
      <c r="A204" s="10" t="inlineStr">
        <is>
          <t>MH-016</t>
        </is>
      </c>
      <c r="B204" s="10" t="inlineStr">
        <is>
          <t>P06</t>
        </is>
      </c>
      <c r="C204" s="10" t="inlineStr"/>
      <c r="D204" s="10" t="inlineStr">
        <is>
          <t>2025-07-01</t>
        </is>
      </c>
      <c r="E204" s="10" t="inlineStr">
        <is>
          <t>EXPLICITO</t>
        </is>
      </c>
      <c r="F204" s="10" t="inlineStr">
        <is>
          <t>Fecha y hora</t>
        </is>
      </c>
      <c r="G204" s="12">
        <f>IF(B204="","",IFERROR(INDEX(ref_preguntas!$C$2:$C$200,MATCH(B204,ref_preguntas!$A$2:$A$200,0)),"ID no existe"))</f>
        <v/>
      </c>
    </row>
    <row r="205">
      <c r="A205" s="10" t="inlineStr">
        <is>
          <t>MH-016</t>
        </is>
      </c>
      <c r="B205" s="10" t="inlineStr">
        <is>
          <t>P11</t>
        </is>
      </c>
      <c r="C205" s="10" t="inlineStr"/>
      <c r="D205" s="10" t="inlineStr">
        <is>
          <t>BAR</t>
        </is>
      </c>
      <c r="E205" s="10" t="inlineStr">
        <is>
          <t>EXPLICITO</t>
        </is>
      </c>
      <c r="F205" s="10" t="inlineStr">
        <is>
          <t>Detalles de zonas</t>
        </is>
      </c>
      <c r="G205" s="12">
        <f>IF(B205="","",IFERROR(INDEX(ref_preguntas!$C$2:$C$200,MATCH(B205,ref_preguntas!$A$2:$A$200,0)),"ID no existe"))</f>
        <v/>
      </c>
    </row>
    <row r="206">
      <c r="A206" s="10" t="inlineStr">
        <is>
          <t>MH-016</t>
        </is>
      </c>
      <c r="B206" s="10" t="inlineStr">
        <is>
          <t>P13</t>
        </is>
      </c>
      <c r="C206" s="10" t="inlineStr"/>
      <c r="D206" s="10" t="inlineStr">
        <is>
          <t>MOVISTAR</t>
        </is>
      </c>
      <c r="E206" s="10" t="inlineStr">
        <is>
          <t>EXPLICITO</t>
        </is>
      </c>
      <c r="F206" s="10" t="inlineStr">
        <is>
          <t>Velocidad de red</t>
        </is>
      </c>
      <c r="G206" s="12">
        <f>IF(B206="","",IFERROR(INDEX(ref_preguntas!$C$2:$C$200,MATCH(B206,ref_preguntas!$A$2:$A$200,0)),"ID no existe"))</f>
        <v/>
      </c>
    </row>
    <row r="207">
      <c r="A207" s="10" t="inlineStr">
        <is>
          <t>MH-016</t>
        </is>
      </c>
      <c r="B207" s="10" t="inlineStr">
        <is>
          <t>P22</t>
        </is>
      </c>
      <c r="C207" s="10" t="inlineStr">
        <is>
          <t>L_CAJAS:1</t>
        </is>
      </c>
      <c r="D207" s="10" t="inlineStr">
        <is>
          <t>TABLET</t>
        </is>
      </c>
      <c r="E207" s="10" t="inlineStr">
        <is>
          <t>EXPLICITO</t>
        </is>
      </c>
      <c r="F207" s="10" t="inlineStr">
        <is>
          <t>La tablet es la caja; se recomienda Raspberry</t>
        </is>
      </c>
      <c r="G207" s="12">
        <f>IF(B207="","",IFERROR(INDEX(ref_preguntas!$C$2:$C$200,MATCH(B207,ref_preguntas!$A$2:$A$200,0)),"ID no existe"))</f>
        <v/>
      </c>
    </row>
    <row r="208">
      <c r="A208" s="10" t="inlineStr">
        <is>
          <t>MH-016</t>
        </is>
      </c>
      <c r="B208" s="10" t="inlineStr">
        <is>
          <t>P22a</t>
        </is>
      </c>
      <c r="C208" s="10" t="inlineStr">
        <is>
          <t>L_CAJAS:1</t>
        </is>
      </c>
      <c r="D208" s="10" t="inlineStr">
        <is>
          <t>NO</t>
        </is>
      </c>
      <c r="E208" s="10" t="inlineStr">
        <is>
          <t>INFERIDO</t>
        </is>
      </c>
      <c r="F208" s="10" t="inlineStr">
        <is>
          <t>Se recomienda adquirir Raspberry</t>
        </is>
      </c>
      <c r="G208" s="12">
        <f>IF(B208="","",IFERROR(INDEX(ref_preguntas!$C$2:$C$200,MATCH(B208,ref_preguntas!$A$2:$A$200,0)),"ID no existe"))</f>
        <v/>
      </c>
    </row>
    <row r="209">
      <c r="A209" s="10" t="inlineStr">
        <is>
          <t>MH-016</t>
        </is>
      </c>
      <c r="B209" s="10" t="inlineStr">
        <is>
          <t>P22b</t>
        </is>
      </c>
      <c r="C209" s="10" t="inlineStr">
        <is>
          <t>L_CAJAS:1</t>
        </is>
      </c>
      <c r="D209" s="10" t="inlineStr">
        <is>
          <t>RASPBERRY</t>
        </is>
      </c>
      <c r="E209" s="10" t="inlineStr">
        <is>
          <t>EXPLICITO</t>
        </is>
      </c>
      <c r="F209" s="10" t="inlineStr">
        <is>
          <t>Recomendación</t>
        </is>
      </c>
      <c r="G209" s="12">
        <f>IF(B209="","",IFERROR(INDEX(ref_preguntas!$C$2:$C$200,MATCH(B209,ref_preguntas!$A$2:$A$200,0)),"ID no existe"))</f>
        <v/>
      </c>
    </row>
    <row r="210">
      <c r="A210" s="10" t="inlineStr">
        <is>
          <t>MH-016</t>
        </is>
      </c>
      <c r="B210" s="10" t="inlineStr">
        <is>
          <t>P26</t>
        </is>
      </c>
      <c r="C210" s="10" t="inlineStr"/>
      <c r="D210" s="10" t="inlineStr">
        <is>
          <t>1</t>
        </is>
      </c>
      <c r="E210" s="10" t="inlineStr">
        <is>
          <t>EXPLICITO</t>
        </is>
      </c>
      <c r="F210" s="10" t="inlineStr">
        <is>
          <t>Impresora 3nStar</t>
        </is>
      </c>
      <c r="G210" s="12">
        <f>IF(B210="","",IFERROR(INDEX(ref_preguntas!$C$2:$C$200,MATCH(B210,ref_preguntas!$A$2:$A$200,0)),"ID no existe"))</f>
        <v/>
      </c>
    </row>
    <row r="211">
      <c r="A211" s="10" t="inlineStr">
        <is>
          <t>MH-016</t>
        </is>
      </c>
      <c r="B211" s="10" t="inlineStr">
        <is>
          <t>P29</t>
        </is>
      </c>
      <c r="C211" s="10" t="inlineStr">
        <is>
          <t>L_IMPRESORAS:1</t>
        </is>
      </c>
      <c r="D211" s="10" t="inlineStr">
        <is>
          <t>OTRO</t>
        </is>
      </c>
      <c r="E211" s="10" t="inlineStr">
        <is>
          <t>EXPLICITO</t>
        </is>
      </c>
      <c r="F211" s="10" t="inlineStr">
        <is>
          <t>3nStar</t>
        </is>
      </c>
      <c r="G211" s="12">
        <f>IF(B211="","",IFERROR(INDEX(ref_preguntas!$C$2:$C$200,MATCH(B211,ref_preguntas!$A$2:$A$200,0)),"ID no existe"))</f>
        <v/>
      </c>
    </row>
    <row r="212">
      <c r="A212" s="10" t="inlineStr">
        <is>
          <t>MH-016</t>
        </is>
      </c>
      <c r="B212" s="10" t="inlineStr">
        <is>
          <t>P51</t>
        </is>
      </c>
      <c r="C212" s="10" t="inlineStr"/>
      <c r="D212" s="10" t="inlineStr">
        <is>
          <t>ID: Kevin · Cliente: Roxana Sujara</t>
        </is>
      </c>
      <c r="E212" s="10" t="inlineStr">
        <is>
          <t>EXPLICITO</t>
        </is>
      </c>
      <c r="F212" s="10" t="inlineStr">
        <is>
          <t>Asistentes</t>
        </is>
      </c>
      <c r="G212" s="12">
        <f>IF(B212="","",IFERROR(INDEX(ref_preguntas!$C$2:$C$200,MATCH(B212,ref_preguntas!$A$2:$A$200,0)),"ID no existe"))</f>
        <v/>
      </c>
    </row>
    <row r="213">
      <c r="A213" s="10" t="inlineStr">
        <is>
          <t>MH-016</t>
        </is>
      </c>
      <c r="B213" s="10" t="inlineStr">
        <is>
          <t>P12a</t>
        </is>
      </c>
      <c r="C213" s="10" t="inlineStr"/>
      <c r="D213" s="10" t="inlineStr">
        <is>
          <t>NO</t>
        </is>
      </c>
      <c r="E213" s="10" t="inlineStr">
        <is>
          <t>INFERIDO</t>
        </is>
      </c>
      <c r="F213" s="10" t="inlineStr">
        <is>
          <t>Solo menciona boletas y facturas</t>
        </is>
      </c>
      <c r="G213" s="12">
        <f>IF(B213="","",IFERROR(INDEX(ref_preguntas!$C$2:$C$200,MATCH(B213,ref_preguntas!$A$2:$A$200,0)),"ID no existe"))</f>
        <v/>
      </c>
    </row>
    <row r="214">
      <c r="A214" s="10" t="inlineStr">
        <is>
          <t>MH-016</t>
        </is>
      </c>
      <c r="B214" s="10" t="inlineStr">
        <is>
          <t>P09</t>
        </is>
      </c>
      <c r="C214" s="10" t="inlineStr"/>
      <c r="D214" s="10" t="inlineStr">
        <is>
          <t>HELADERIA</t>
        </is>
      </c>
      <c r="E214" s="10" t="inlineStr">
        <is>
          <t>EXPLICITO</t>
        </is>
      </c>
      <c r="F214" s="10" t="inlineStr">
        <is>
          <t>Rubro confirmado por el equipo (2026-10-10)</t>
        </is>
      </c>
      <c r="G214" s="12">
        <f>IF(B214="","",IFERROR(INDEX(ref_preguntas!$C$2:$C$200,MATCH(B214,ref_preguntas!$A$2:$A$200,0)),"ID no existe"))</f>
        <v/>
      </c>
    </row>
    <row r="215">
      <c r="A215" s="10" t="inlineStr">
        <is>
          <t>MH-017</t>
        </is>
      </c>
      <c r="B215" s="10" t="inlineStr">
        <is>
          <t>P01</t>
        </is>
      </c>
      <c r="C215" s="10" t="inlineStr"/>
      <c r="D215" s="10" t="inlineStr">
        <is>
          <t>Gelato Alore</t>
        </is>
      </c>
      <c r="E215" s="10" t="inlineStr">
        <is>
          <t>EXPLICITO</t>
        </is>
      </c>
      <c r="F215" s="10" t="inlineStr">
        <is>
          <t>Título</t>
        </is>
      </c>
      <c r="G215" s="12">
        <f>IF(B215="","",IFERROR(INDEX(ref_preguntas!$C$2:$C$200,MATCH(B215,ref_preguntas!$A$2:$A$200,0)),"ID no existe"))</f>
        <v/>
      </c>
    </row>
    <row r="216">
      <c r="A216" s="10" t="inlineStr">
        <is>
          <t>MH-017</t>
        </is>
      </c>
      <c r="B216" s="10" t="inlineStr">
        <is>
          <t>P02</t>
        </is>
      </c>
      <c r="C216" s="10" t="inlineStr"/>
      <c r="D216" s="10" t="inlineStr">
        <is>
          <t>Gelato Alore Ejército</t>
        </is>
      </c>
      <c r="E216" s="10" t="inlineStr">
        <is>
          <t>EXPLICITO</t>
        </is>
      </c>
      <c r="F216" s="10" t="inlineStr">
        <is>
          <t>Título</t>
        </is>
      </c>
      <c r="G216" s="12">
        <f>IF(B216="","",IFERROR(INDEX(ref_preguntas!$C$2:$C$200,MATCH(B216,ref_preguntas!$A$2:$A$200,0)),"ID no existe"))</f>
        <v/>
      </c>
    </row>
    <row r="217">
      <c r="A217" s="10" t="inlineStr">
        <is>
          <t>MH-017</t>
        </is>
      </c>
      <c r="B217" s="10" t="inlineStr">
        <is>
          <t>P03</t>
        </is>
      </c>
      <c r="C217" s="10" t="inlineStr"/>
      <c r="D217" s="10" t="inlineStr">
        <is>
          <t>Av. del Ejército 395, Miraflores 15074</t>
        </is>
      </c>
      <c r="E217" s="10" t="inlineStr">
        <is>
          <t>EXPLICITO</t>
        </is>
      </c>
      <c r="F217" s="10" t="inlineStr">
        <is>
          <t>Dirección</t>
        </is>
      </c>
      <c r="G217" s="12">
        <f>IF(B217="","",IFERROR(INDEX(ref_preguntas!$C$2:$C$200,MATCH(B217,ref_preguntas!$A$2:$A$200,0)),"ID no existe"))</f>
        <v/>
      </c>
    </row>
    <row r="218">
      <c r="A218" s="10" t="inlineStr">
        <is>
          <t>MH-017</t>
        </is>
      </c>
      <c r="B218" s="10" t="inlineStr">
        <is>
          <t>P04</t>
        </is>
      </c>
      <c r="C218" s="10" t="inlineStr"/>
      <c r="D218" s="10" t="inlineStr">
        <is>
          <t>Mirella León</t>
        </is>
      </c>
      <c r="E218" s="10" t="inlineStr">
        <is>
          <t>EXPLICITO</t>
        </is>
      </c>
      <c r="F218" s="10" t="inlineStr">
        <is>
          <t>Team cliente</t>
        </is>
      </c>
      <c r="G218" s="12">
        <f>IF(B218="","",IFERROR(INDEX(ref_preguntas!$C$2:$C$200,MATCH(B218,ref_preguntas!$A$2:$A$200,0)),"ID no existe"))</f>
        <v/>
      </c>
    </row>
    <row r="219">
      <c r="A219" s="10" t="inlineStr">
        <is>
          <t>MH-017</t>
        </is>
      </c>
      <c r="B219" s="10" t="inlineStr">
        <is>
          <t>P06</t>
        </is>
      </c>
      <c r="C219" s="10" t="inlineStr"/>
      <c r="D219" s="10" t="inlineStr">
        <is>
          <t>2025-07-01</t>
        </is>
      </c>
      <c r="E219" s="10" t="inlineStr">
        <is>
          <t>EXPLICITO</t>
        </is>
      </c>
      <c r="F219" s="10" t="inlineStr">
        <is>
          <t>Fecha y hora</t>
        </is>
      </c>
      <c r="G219" s="12">
        <f>IF(B219="","",IFERROR(INDEX(ref_preguntas!$C$2:$C$200,MATCH(B219,ref_preguntas!$A$2:$A$200,0)),"ID no existe"))</f>
        <v/>
      </c>
    </row>
    <row r="220">
      <c r="A220" s="10" t="inlineStr">
        <is>
          <t>MH-017</t>
        </is>
      </c>
      <c r="B220" s="10" t="inlineStr">
        <is>
          <t>P11</t>
        </is>
      </c>
      <c r="C220" s="10" t="inlineStr"/>
      <c r="D220" s="10" t="inlineStr">
        <is>
          <t>BAR, SALON_1, TERRAZA</t>
        </is>
      </c>
      <c r="E220" s="10" t="inlineStr">
        <is>
          <t>EXPLICITO</t>
        </is>
      </c>
      <c r="F220" s="10" t="inlineStr">
        <is>
          <t>Detalles de zonas</t>
        </is>
      </c>
      <c r="G220" s="12">
        <f>IF(B220="","",IFERROR(INDEX(ref_preguntas!$C$2:$C$200,MATCH(B220,ref_preguntas!$A$2:$A$200,0)),"ID no existe"))</f>
        <v/>
      </c>
    </row>
    <row r="221">
      <c r="A221" s="10" t="inlineStr">
        <is>
          <t>MH-017</t>
        </is>
      </c>
      <c r="B221" s="10" t="inlineStr">
        <is>
          <t>P13</t>
        </is>
      </c>
      <c r="C221" s="10" t="inlineStr"/>
      <c r="D221" s="10" t="inlineStr">
        <is>
          <t>MOVISTAR</t>
        </is>
      </c>
      <c r="E221" s="10" t="inlineStr">
        <is>
          <t>EXPLICITO</t>
        </is>
      </c>
      <c r="F221" s="10" t="inlineStr">
        <is>
          <t>Velocidad de red</t>
        </is>
      </c>
      <c r="G221" s="12">
        <f>IF(B221="","",IFERROR(INDEX(ref_preguntas!$C$2:$C$200,MATCH(B221,ref_preguntas!$A$2:$A$200,0)),"ID no existe"))</f>
        <v/>
      </c>
    </row>
    <row r="222">
      <c r="A222" s="10" t="inlineStr">
        <is>
          <t>MH-017</t>
        </is>
      </c>
      <c r="B222" s="10" t="inlineStr">
        <is>
          <t>P22</t>
        </is>
      </c>
      <c r="C222" s="10" t="inlineStr">
        <is>
          <t>L_CAJAS:1</t>
        </is>
      </c>
      <c r="D222" s="10" t="inlineStr">
        <is>
          <t>TABLET</t>
        </is>
      </c>
      <c r="E222" s="10" t="inlineStr">
        <is>
          <t>INFERIDO</t>
        </is>
      </c>
      <c r="F222" s="10" t="inlineStr">
        <is>
          <t>La tablet es la caja; se recomienda Raspberry</t>
        </is>
      </c>
      <c r="G222" s="12">
        <f>IF(B222="","",IFERROR(INDEX(ref_preguntas!$C$2:$C$200,MATCH(B222,ref_preguntas!$A$2:$A$200,0)),"ID no existe"))</f>
        <v/>
      </c>
    </row>
    <row r="223">
      <c r="A223" s="10" t="inlineStr">
        <is>
          <t>MH-017</t>
        </is>
      </c>
      <c r="B223" s="10" t="inlineStr">
        <is>
          <t>P22a</t>
        </is>
      </c>
      <c r="C223" s="10" t="inlineStr">
        <is>
          <t>L_CAJAS:1</t>
        </is>
      </c>
      <c r="D223" s="10" t="inlineStr">
        <is>
          <t>NO</t>
        </is>
      </c>
      <c r="E223" s="10" t="inlineStr">
        <is>
          <t>INFERIDO</t>
        </is>
      </c>
      <c r="F223" s="10" t="inlineStr">
        <is>
          <t>Se recomienda adquirir Raspberry</t>
        </is>
      </c>
      <c r="G223" s="12">
        <f>IF(B223="","",IFERROR(INDEX(ref_preguntas!$C$2:$C$200,MATCH(B223,ref_preguntas!$A$2:$A$200,0)),"ID no existe"))</f>
        <v/>
      </c>
    </row>
    <row r="224">
      <c r="A224" s="10" t="inlineStr">
        <is>
          <t>MH-017</t>
        </is>
      </c>
      <c r="B224" s="10" t="inlineStr">
        <is>
          <t>P22b</t>
        </is>
      </c>
      <c r="C224" s="10" t="inlineStr">
        <is>
          <t>L_CAJAS:1</t>
        </is>
      </c>
      <c r="D224" s="10" t="inlineStr">
        <is>
          <t>RASPBERRY</t>
        </is>
      </c>
      <c r="E224" s="10" t="inlineStr">
        <is>
          <t>EXPLICITO</t>
        </is>
      </c>
      <c r="F224" s="10" t="inlineStr">
        <is>
          <t>Recomendación</t>
        </is>
      </c>
      <c r="G224" s="12">
        <f>IF(B224="","",IFERROR(INDEX(ref_preguntas!$C$2:$C$200,MATCH(B224,ref_preguntas!$A$2:$A$200,0)),"ID no existe"))</f>
        <v/>
      </c>
    </row>
    <row r="225">
      <c r="A225" s="10" t="inlineStr">
        <is>
          <t>MH-017</t>
        </is>
      </c>
      <c r="B225" s="10" t="inlineStr">
        <is>
          <t>P26</t>
        </is>
      </c>
      <c r="C225" s="10" t="inlineStr"/>
      <c r="D225" s="10" t="inlineStr">
        <is>
          <t>1</t>
        </is>
      </c>
      <c r="E225" s="10" t="inlineStr">
        <is>
          <t>EXPLICITO</t>
        </is>
      </c>
      <c r="F225" s="10" t="inlineStr">
        <is>
          <t>Impresora 3nStar</t>
        </is>
      </c>
      <c r="G225" s="12">
        <f>IF(B225="","",IFERROR(INDEX(ref_preguntas!$C$2:$C$200,MATCH(B225,ref_preguntas!$A$2:$A$200,0)),"ID no existe"))</f>
        <v/>
      </c>
    </row>
    <row r="226">
      <c r="A226" s="10" t="inlineStr">
        <is>
          <t>MH-017</t>
        </is>
      </c>
      <c r="B226" s="10" t="inlineStr">
        <is>
          <t>P29</t>
        </is>
      </c>
      <c r="C226" s="10" t="inlineStr">
        <is>
          <t>L_IMPRESORAS:1</t>
        </is>
      </c>
      <c r="D226" s="10" t="inlineStr">
        <is>
          <t>OTRO</t>
        </is>
      </c>
      <c r="E226" s="10" t="inlineStr">
        <is>
          <t>EXPLICITO</t>
        </is>
      </c>
      <c r="F226" s="10" t="inlineStr">
        <is>
          <t>3nStar</t>
        </is>
      </c>
      <c r="G226" s="12">
        <f>IF(B226="","",IFERROR(INDEX(ref_preguntas!$C$2:$C$200,MATCH(B226,ref_preguntas!$A$2:$A$200,0)),"ID no existe"))</f>
        <v/>
      </c>
    </row>
    <row r="227">
      <c r="A227" s="10" t="inlineStr">
        <is>
          <t>MH-017</t>
        </is>
      </c>
      <c r="B227" s="10" t="inlineStr">
        <is>
          <t>P51</t>
        </is>
      </c>
      <c r="C227" s="10" t="inlineStr"/>
      <c r="D227" s="10" t="inlineStr">
        <is>
          <t>ID: Kevin · Cliente: Mirella León</t>
        </is>
      </c>
      <c r="E227" s="10" t="inlineStr">
        <is>
          <t>EXPLICITO</t>
        </is>
      </c>
      <c r="F227" s="10" t="inlineStr">
        <is>
          <t>Asistentes</t>
        </is>
      </c>
      <c r="G227" s="12">
        <f>IF(B227="","",IFERROR(INDEX(ref_preguntas!$C$2:$C$200,MATCH(B227,ref_preguntas!$A$2:$A$200,0)),"ID no existe"))</f>
        <v/>
      </c>
    </row>
    <row r="228">
      <c r="A228" s="10" t="inlineStr">
        <is>
          <t>MH-017</t>
        </is>
      </c>
      <c r="B228" s="10" t="inlineStr">
        <is>
          <t>P12a</t>
        </is>
      </c>
      <c r="C228" s="10" t="inlineStr"/>
      <c r="D228" s="10" t="inlineStr">
        <is>
          <t>NO</t>
        </is>
      </c>
      <c r="E228" s="10" t="inlineStr">
        <is>
          <t>INFERIDO</t>
        </is>
      </c>
      <c r="F228" s="10" t="inlineStr">
        <is>
          <t>Solo menciona boletas y facturas</t>
        </is>
      </c>
      <c r="G228" s="12">
        <f>IF(B228="","",IFERROR(INDEX(ref_preguntas!$C$2:$C$200,MATCH(B228,ref_preguntas!$A$2:$A$200,0)),"ID no existe"))</f>
        <v/>
      </c>
    </row>
    <row r="229">
      <c r="A229" s="10" t="inlineStr">
        <is>
          <t>MH-017</t>
        </is>
      </c>
      <c r="B229" s="10" t="inlineStr">
        <is>
          <t>P09</t>
        </is>
      </c>
      <c r="C229" s="10" t="inlineStr"/>
      <c r="D229" s="10" t="inlineStr">
        <is>
          <t>HELADERIA</t>
        </is>
      </c>
      <c r="E229" s="10" t="inlineStr">
        <is>
          <t>EXPLICITO</t>
        </is>
      </c>
      <c r="F229" s="10" t="inlineStr">
        <is>
          <t>Rubro confirmado por el equipo (2026-10-10)</t>
        </is>
      </c>
      <c r="G229" s="12">
        <f>IF(B229="","",IFERROR(INDEX(ref_preguntas!$C$2:$C$200,MATCH(B229,ref_preguntas!$A$2:$A$200,0)),"ID no existe"))</f>
        <v/>
      </c>
    </row>
    <row r="230">
      <c r="A230" s="10" t="inlineStr">
        <is>
          <t>MH-018</t>
        </is>
      </c>
      <c r="B230" s="10" t="inlineStr">
        <is>
          <t>P01</t>
        </is>
      </c>
      <c r="C230" s="10" t="inlineStr"/>
      <c r="D230" s="10" t="inlineStr">
        <is>
          <t>Gelato Alore</t>
        </is>
      </c>
      <c r="E230" s="10" t="inlineStr">
        <is>
          <t>EXPLICITO</t>
        </is>
      </c>
      <c r="F230" s="10" t="inlineStr">
        <is>
          <t>Título</t>
        </is>
      </c>
      <c r="G230" s="12">
        <f>IF(B230="","",IFERROR(INDEX(ref_preguntas!$C$2:$C$200,MATCH(B230,ref_preguntas!$A$2:$A$200,0)),"ID no existe"))</f>
        <v/>
      </c>
    </row>
    <row r="231">
      <c r="A231" s="10" t="inlineStr">
        <is>
          <t>MH-018</t>
        </is>
      </c>
      <c r="B231" s="10" t="inlineStr">
        <is>
          <t>P02</t>
        </is>
      </c>
      <c r="C231" s="10" t="inlineStr"/>
      <c r="D231" s="10" t="inlineStr">
        <is>
          <t>Gelato Alore 2 de Mayo</t>
        </is>
      </c>
      <c r="E231" s="10" t="inlineStr">
        <is>
          <t>EXPLICITO</t>
        </is>
      </c>
      <c r="F231" s="10" t="inlineStr">
        <is>
          <t>Título</t>
        </is>
      </c>
      <c r="G231" s="12">
        <f>IF(B231="","",IFERROR(INDEX(ref_preguntas!$C$2:$C$200,MATCH(B231,ref_preguntas!$A$2:$A$200,0)),"ID no existe"))</f>
        <v/>
      </c>
    </row>
    <row r="232">
      <c r="A232" s="10" t="inlineStr">
        <is>
          <t>MH-018</t>
        </is>
      </c>
      <c r="B232" s="10" t="inlineStr">
        <is>
          <t>P03</t>
        </is>
      </c>
      <c r="C232" s="10" t="inlineStr"/>
      <c r="D232" s="10" t="inlineStr">
        <is>
          <t>Av. Dos de Mayo 1186, San Isidro 15073</t>
        </is>
      </c>
      <c r="E232" s="10" t="inlineStr">
        <is>
          <t>EXPLICITO</t>
        </is>
      </c>
      <c r="F232" s="10" t="inlineStr">
        <is>
          <t>Dirección</t>
        </is>
      </c>
      <c r="G232" s="12">
        <f>IF(B232="","",IFERROR(INDEX(ref_preguntas!$C$2:$C$200,MATCH(B232,ref_preguntas!$A$2:$A$200,0)),"ID no existe"))</f>
        <v/>
      </c>
    </row>
    <row r="233">
      <c r="A233" s="10" t="inlineStr">
        <is>
          <t>MH-018</t>
        </is>
      </c>
      <c r="B233" s="10" t="inlineStr">
        <is>
          <t>P04</t>
        </is>
      </c>
      <c r="C233" s="10" t="inlineStr"/>
      <c r="D233" s="10" t="inlineStr">
        <is>
          <t>Blanca Coronel</t>
        </is>
      </c>
      <c r="E233" s="10" t="inlineStr">
        <is>
          <t>EXPLICITO</t>
        </is>
      </c>
      <c r="F233" s="10" t="inlineStr">
        <is>
          <t>Team cliente</t>
        </is>
      </c>
      <c r="G233" s="12">
        <f>IF(B233="","",IFERROR(INDEX(ref_preguntas!$C$2:$C$200,MATCH(B233,ref_preguntas!$A$2:$A$200,0)),"ID no existe"))</f>
        <v/>
      </c>
    </row>
    <row r="234">
      <c r="A234" s="10" t="inlineStr">
        <is>
          <t>MH-018</t>
        </is>
      </c>
      <c r="B234" s="10" t="inlineStr">
        <is>
          <t>P06</t>
        </is>
      </c>
      <c r="C234" s="10" t="inlineStr"/>
      <c r="D234" s="10" t="inlineStr">
        <is>
          <t>2025-07-01</t>
        </is>
      </c>
      <c r="E234" s="10" t="inlineStr">
        <is>
          <t>EXPLICITO</t>
        </is>
      </c>
      <c r="F234" s="10" t="inlineStr">
        <is>
          <t>Fecha y hora</t>
        </is>
      </c>
      <c r="G234" s="12">
        <f>IF(B234="","",IFERROR(INDEX(ref_preguntas!$C$2:$C$200,MATCH(B234,ref_preguntas!$A$2:$A$200,0)),"ID no existe"))</f>
        <v/>
      </c>
    </row>
    <row r="235">
      <c r="A235" s="10" t="inlineStr">
        <is>
          <t>MH-018</t>
        </is>
      </c>
      <c r="B235" s="10" t="inlineStr">
        <is>
          <t>P11</t>
        </is>
      </c>
      <c r="C235" s="10" t="inlineStr"/>
      <c r="D235" s="10" t="inlineStr">
        <is>
          <t>BAR</t>
        </is>
      </c>
      <c r="E235" s="10" t="inlineStr">
        <is>
          <t>EXPLICITO</t>
        </is>
      </c>
      <c r="F235" s="10" t="inlineStr">
        <is>
          <t>Detalles de zonas</t>
        </is>
      </c>
      <c r="G235" s="12">
        <f>IF(B235="","",IFERROR(INDEX(ref_preguntas!$C$2:$C$200,MATCH(B235,ref_preguntas!$A$2:$A$200,0)),"ID no existe"))</f>
        <v/>
      </c>
    </row>
    <row r="236">
      <c r="A236" s="10" t="inlineStr">
        <is>
          <t>MH-018</t>
        </is>
      </c>
      <c r="B236" s="10" t="inlineStr">
        <is>
          <t>P13</t>
        </is>
      </c>
      <c r="C236" s="10" t="inlineStr"/>
      <c r="D236" s="10" t="inlineStr">
        <is>
          <t>CLARO</t>
        </is>
      </c>
      <c r="E236" s="10" t="inlineStr">
        <is>
          <t>EXPLICITO</t>
        </is>
      </c>
      <c r="F236" s="10" t="inlineStr">
        <is>
          <t>Velocidad de red</t>
        </is>
      </c>
      <c r="G236" s="12">
        <f>IF(B236="","",IFERROR(INDEX(ref_preguntas!$C$2:$C$200,MATCH(B236,ref_preguntas!$A$2:$A$200,0)),"ID no existe"))</f>
        <v/>
      </c>
    </row>
    <row r="237">
      <c r="A237" s="10" t="inlineStr">
        <is>
          <t>MH-018</t>
        </is>
      </c>
      <c r="B237" s="10" t="inlineStr">
        <is>
          <t>P22</t>
        </is>
      </c>
      <c r="C237" s="10" t="inlineStr">
        <is>
          <t>L_CAJAS:1</t>
        </is>
      </c>
      <c r="D237" s="10" t="inlineStr">
        <is>
          <t>TABLET</t>
        </is>
      </c>
      <c r="E237" s="10" t="inlineStr">
        <is>
          <t>INFERIDO</t>
        </is>
      </c>
      <c r="F237" s="10" t="inlineStr">
        <is>
          <t>La tablet es la caja; se recomienda Raspberry</t>
        </is>
      </c>
      <c r="G237" s="12">
        <f>IF(B237="","",IFERROR(INDEX(ref_preguntas!$C$2:$C$200,MATCH(B237,ref_preguntas!$A$2:$A$200,0)),"ID no existe"))</f>
        <v/>
      </c>
    </row>
    <row r="238">
      <c r="A238" s="10" t="inlineStr">
        <is>
          <t>MH-018</t>
        </is>
      </c>
      <c r="B238" s="10" t="inlineStr">
        <is>
          <t>P22a</t>
        </is>
      </c>
      <c r="C238" s="10" t="inlineStr">
        <is>
          <t>L_CAJAS:1</t>
        </is>
      </c>
      <c r="D238" s="10" t="inlineStr">
        <is>
          <t>NO</t>
        </is>
      </c>
      <c r="E238" s="10" t="inlineStr">
        <is>
          <t>INFERIDO</t>
        </is>
      </c>
      <c r="F238" s="10" t="inlineStr">
        <is>
          <t>Se recomienda adquirir Raspberry</t>
        </is>
      </c>
      <c r="G238" s="12">
        <f>IF(B238="","",IFERROR(INDEX(ref_preguntas!$C$2:$C$200,MATCH(B238,ref_preguntas!$A$2:$A$200,0)),"ID no existe"))</f>
        <v/>
      </c>
    </row>
    <row r="239">
      <c r="A239" s="10" t="inlineStr">
        <is>
          <t>MH-018</t>
        </is>
      </c>
      <c r="B239" s="10" t="inlineStr">
        <is>
          <t>P22b</t>
        </is>
      </c>
      <c r="C239" s="10" t="inlineStr">
        <is>
          <t>L_CAJAS:1</t>
        </is>
      </c>
      <c r="D239" s="10" t="inlineStr">
        <is>
          <t>RASPBERRY</t>
        </is>
      </c>
      <c r="E239" s="10" t="inlineStr">
        <is>
          <t>EXPLICITO</t>
        </is>
      </c>
      <c r="F239" s="10" t="inlineStr">
        <is>
          <t>Recomendación</t>
        </is>
      </c>
      <c r="G239" s="12">
        <f>IF(B239="","",IFERROR(INDEX(ref_preguntas!$C$2:$C$200,MATCH(B239,ref_preguntas!$A$2:$A$200,0)),"ID no existe"))</f>
        <v/>
      </c>
    </row>
    <row r="240">
      <c r="A240" s="10" t="inlineStr">
        <is>
          <t>MH-018</t>
        </is>
      </c>
      <c r="B240" s="10" t="inlineStr">
        <is>
          <t>P26</t>
        </is>
      </c>
      <c r="C240" s="10" t="inlineStr"/>
      <c r="D240" s="10" t="inlineStr">
        <is>
          <t>1</t>
        </is>
      </c>
      <c r="E240" s="10" t="inlineStr">
        <is>
          <t>EXPLICITO</t>
        </is>
      </c>
      <c r="F240" s="10" t="inlineStr">
        <is>
          <t>Impresora 3nStar</t>
        </is>
      </c>
      <c r="G240" s="12">
        <f>IF(B240="","",IFERROR(INDEX(ref_preguntas!$C$2:$C$200,MATCH(B240,ref_preguntas!$A$2:$A$200,0)),"ID no existe"))</f>
        <v/>
      </c>
    </row>
    <row r="241">
      <c r="A241" s="10" t="inlineStr">
        <is>
          <t>MH-018</t>
        </is>
      </c>
      <c r="B241" s="10" t="inlineStr">
        <is>
          <t>P29</t>
        </is>
      </c>
      <c r="C241" s="10" t="inlineStr">
        <is>
          <t>L_IMPRESORAS:1</t>
        </is>
      </c>
      <c r="D241" s="10" t="inlineStr">
        <is>
          <t>OTRO</t>
        </is>
      </c>
      <c r="E241" s="10" t="inlineStr">
        <is>
          <t>EXPLICITO</t>
        </is>
      </c>
      <c r="F241" s="10" t="inlineStr">
        <is>
          <t>3nStar</t>
        </is>
      </c>
      <c r="G241" s="12">
        <f>IF(B241="","",IFERROR(INDEX(ref_preguntas!$C$2:$C$200,MATCH(B241,ref_preguntas!$A$2:$A$200,0)),"ID no existe"))</f>
        <v/>
      </c>
    </row>
    <row r="242">
      <c r="A242" s="10" t="inlineStr">
        <is>
          <t>MH-018</t>
        </is>
      </c>
      <c r="B242" s="10" t="inlineStr">
        <is>
          <t>P51</t>
        </is>
      </c>
      <c r="C242" s="10" t="inlineStr"/>
      <c r="D242" s="10" t="inlineStr">
        <is>
          <t>ID: Kevin · Cliente: Blanca Coronel</t>
        </is>
      </c>
      <c r="E242" s="10" t="inlineStr">
        <is>
          <t>EXPLICITO</t>
        </is>
      </c>
      <c r="F242" s="10" t="inlineStr">
        <is>
          <t>Asistentes</t>
        </is>
      </c>
      <c r="G242" s="12">
        <f>IF(B242="","",IFERROR(INDEX(ref_preguntas!$C$2:$C$200,MATCH(B242,ref_preguntas!$A$2:$A$200,0)),"ID no existe"))</f>
        <v/>
      </c>
    </row>
    <row r="243">
      <c r="A243" s="10" t="inlineStr">
        <is>
          <t>MH-018</t>
        </is>
      </c>
      <c r="B243" s="10" t="inlineStr">
        <is>
          <t>P12a</t>
        </is>
      </c>
      <c r="C243" s="10" t="inlineStr"/>
      <c r="D243" s="10" t="inlineStr">
        <is>
          <t>NO</t>
        </is>
      </c>
      <c r="E243" s="10" t="inlineStr">
        <is>
          <t>INFERIDO</t>
        </is>
      </c>
      <c r="F243" s="10" t="inlineStr">
        <is>
          <t>Solo menciona boletas y facturas</t>
        </is>
      </c>
      <c r="G243" s="12">
        <f>IF(B243="","",IFERROR(INDEX(ref_preguntas!$C$2:$C$200,MATCH(B243,ref_preguntas!$A$2:$A$200,0)),"ID no existe"))</f>
        <v/>
      </c>
    </row>
    <row r="244">
      <c r="A244" s="10" t="inlineStr">
        <is>
          <t>MH-018</t>
        </is>
      </c>
      <c r="B244" s="10" t="inlineStr">
        <is>
          <t>P09</t>
        </is>
      </c>
      <c r="C244" s="10" t="inlineStr"/>
      <c r="D244" s="10" t="inlineStr">
        <is>
          <t>HELADERIA</t>
        </is>
      </c>
      <c r="E244" s="10" t="inlineStr">
        <is>
          <t>EXPLICITO</t>
        </is>
      </c>
      <c r="F244" s="10" t="inlineStr">
        <is>
          <t>Rubro confirmado por el equipo (2026-10-10)</t>
        </is>
      </c>
      <c r="G244" s="12">
        <f>IF(B244="","",IFERROR(INDEX(ref_preguntas!$C$2:$C$200,MATCH(B244,ref_preguntas!$A$2:$A$200,0)),"ID no existe"))</f>
        <v/>
      </c>
    </row>
    <row r="245">
      <c r="A245" s="10" t="inlineStr">
        <is>
          <t>MH-019</t>
        </is>
      </c>
      <c r="B245" s="10" t="inlineStr">
        <is>
          <t>P01</t>
        </is>
      </c>
      <c r="C245" s="10" t="inlineStr"/>
      <c r="D245" s="10" t="inlineStr">
        <is>
          <t>ALF Sandwiches</t>
        </is>
      </c>
      <c r="E245" s="10" t="inlineStr">
        <is>
          <t>EXPLICITO</t>
        </is>
      </c>
      <c r="F245" s="10" t="inlineStr">
        <is>
          <t>Título</t>
        </is>
      </c>
      <c r="G245" s="12">
        <f>IF(B245="","",IFERROR(INDEX(ref_preguntas!$C$2:$C$200,MATCH(B245,ref_preguntas!$A$2:$A$200,0)),"ID no existe"))</f>
        <v/>
      </c>
    </row>
    <row r="246">
      <c r="A246" s="10" t="inlineStr">
        <is>
          <t>MH-019</t>
        </is>
      </c>
      <c r="B246" s="10" t="inlineStr">
        <is>
          <t>P02</t>
        </is>
      </c>
      <c r="C246" s="10" t="inlineStr"/>
      <c r="D246" s="10" t="inlineStr">
        <is>
          <t>ALF Sandwiches</t>
        </is>
      </c>
      <c r="E246" s="10" t="inlineStr">
        <is>
          <t>EXPLICITO</t>
        </is>
      </c>
      <c r="F246" s="10" t="inlineStr">
        <is>
          <t>Título</t>
        </is>
      </c>
      <c r="G246" s="12">
        <f>IF(B246="","",IFERROR(INDEX(ref_preguntas!$C$2:$C$200,MATCH(B246,ref_preguntas!$A$2:$A$200,0)),"ID no existe"))</f>
        <v/>
      </c>
    </row>
    <row r="247">
      <c r="A247" s="10" t="inlineStr">
        <is>
          <t>MH-019</t>
        </is>
      </c>
      <c r="B247" s="10" t="inlineStr">
        <is>
          <t>P06</t>
        </is>
      </c>
      <c r="C247" s="10" t="inlineStr"/>
      <c r="D247" s="10" t="inlineStr">
        <is>
          <t>2024-10-21</t>
        </is>
      </c>
      <c r="E247" s="10" t="inlineStr">
        <is>
          <t>EXPLICITO</t>
        </is>
      </c>
      <c r="F247" s="10" t="inlineStr">
        <is>
          <t>Fecha y hora</t>
        </is>
      </c>
      <c r="G247" s="12">
        <f>IF(B247="","",IFERROR(INDEX(ref_preguntas!$C$2:$C$200,MATCH(B247,ref_preguntas!$A$2:$A$200,0)),"ID no existe"))</f>
        <v/>
      </c>
    </row>
    <row r="248">
      <c r="A248" s="10" t="inlineStr">
        <is>
          <t>MH-019</t>
        </is>
      </c>
      <c r="B248" s="10" t="inlineStr">
        <is>
          <t>P09</t>
        </is>
      </c>
      <c r="C248" s="10" t="inlineStr"/>
      <c r="D248" s="10" t="inlineStr">
        <is>
          <t>FAST_FOOD</t>
        </is>
      </c>
      <c r="E248" s="10" t="inlineStr">
        <is>
          <t>EXPLICITO</t>
        </is>
      </c>
      <c r="F248" s="10" t="inlineStr">
        <is>
          <t>Rubro confirmado por el equipo (2026-10-10)</t>
        </is>
      </c>
      <c r="G248" s="12">
        <f>IF(B248="","",IFERROR(INDEX(ref_preguntas!$C$2:$C$200,MATCH(B248,ref_preguntas!$A$2:$A$200,0)),"ID no existe"))</f>
        <v/>
      </c>
    </row>
    <row r="249">
      <c r="A249" s="10" t="inlineStr">
        <is>
          <t>MH-019</t>
        </is>
      </c>
      <c r="B249" s="10" t="inlineStr">
        <is>
          <t>P03</t>
        </is>
      </c>
      <c r="C249" s="10" t="inlineStr"/>
      <c r="D249" s="10" t="inlineStr">
        <is>
          <t>Nicolás de Piérola 431, Barranco</t>
        </is>
      </c>
      <c r="E249" s="10" t="inlineStr">
        <is>
          <t>EXPLICITO</t>
        </is>
      </c>
      <c r="F249" s="10" t="inlineStr">
        <is>
          <t>Dirección</t>
        </is>
      </c>
      <c r="G249" s="12">
        <f>IF(B249="","",IFERROR(INDEX(ref_preguntas!$C$2:$C$200,MATCH(B249,ref_preguntas!$A$2:$A$200,0)),"ID no existe"))</f>
        <v/>
      </c>
    </row>
    <row r="250">
      <c r="A250" s="10" t="inlineStr">
        <is>
          <t>MH-019</t>
        </is>
      </c>
      <c r="B250" s="10" t="inlineStr">
        <is>
          <t>P04</t>
        </is>
      </c>
      <c r="C250" s="10" t="inlineStr"/>
      <c r="D250" s="10" t="inlineStr">
        <is>
          <t>Einar Paulsen</t>
        </is>
      </c>
      <c r="E250" s="10" t="inlineStr">
        <is>
          <t>EXPLICITO</t>
        </is>
      </c>
      <c r="F250" s="10" t="inlineStr">
        <is>
          <t>Team cliente</t>
        </is>
      </c>
      <c r="G250" s="12">
        <f>IF(B250="","",IFERROR(INDEX(ref_preguntas!$C$2:$C$200,MATCH(B250,ref_preguntas!$A$2:$A$200,0)),"ID no existe"))</f>
        <v/>
      </c>
    </row>
    <row r="251">
      <c r="A251" s="10" t="inlineStr">
        <is>
          <t>MH-019</t>
        </is>
      </c>
      <c r="B251" s="10" t="inlineStr">
        <is>
          <t>P12</t>
        </is>
      </c>
      <c r="C251" s="10" t="inlineStr"/>
      <c r="D251" s="10" t="inlineStr">
        <is>
          <t>1</t>
        </is>
      </c>
      <c r="E251" s="10" t="inlineStr">
        <is>
          <t>INFERIDO</t>
        </is>
      </c>
      <c r="F251" s="10" t="inlineStr">
        <is>
          <t>Cajas mencionadas</t>
        </is>
      </c>
      <c r="G251" s="12">
        <f>IF(B251="","",IFERROR(INDEX(ref_preguntas!$C$2:$C$200,MATCH(B251,ref_preguntas!$A$2:$A$200,0)),"ID no existe"))</f>
        <v/>
      </c>
    </row>
    <row r="252">
      <c r="A252" s="10" t="inlineStr">
        <is>
          <t>MH-019</t>
        </is>
      </c>
      <c r="B252" s="10" t="inlineStr">
        <is>
          <t>P51</t>
        </is>
      </c>
      <c r="C252" s="10" t="inlineStr"/>
      <c r="D252" s="10" t="inlineStr">
        <is>
          <t>ID: Yomira Mora, Brandon Grados · Cliente: Einar Paulsen</t>
        </is>
      </c>
      <c r="E252" s="10" t="inlineStr">
        <is>
          <t>EXPLICITO</t>
        </is>
      </c>
      <c r="F252" s="10" t="inlineStr">
        <is>
          <t>Asistentes</t>
        </is>
      </c>
      <c r="G252" s="12">
        <f>IF(B252="","",IFERROR(INDEX(ref_preguntas!$C$2:$C$200,MATCH(B252,ref_preguntas!$A$2:$A$200,0)),"ID no existe"))</f>
        <v/>
      </c>
    </row>
    <row r="253">
      <c r="A253" s="10" t="inlineStr">
        <is>
          <t>MH-020</t>
        </is>
      </c>
      <c r="B253" s="10" t="inlineStr">
        <is>
          <t>P01</t>
        </is>
      </c>
      <c r="C253" s="10" t="inlineStr"/>
      <c r="D253" s="10" t="inlineStr">
        <is>
          <t>La Carpita del Sabor</t>
        </is>
      </c>
      <c r="E253" s="10" t="inlineStr">
        <is>
          <t>EXPLICITO</t>
        </is>
      </c>
      <c r="F253" s="10" t="inlineStr">
        <is>
          <t>Título</t>
        </is>
      </c>
      <c r="G253" s="12">
        <f>IF(B253="","",IFERROR(INDEX(ref_preguntas!$C$2:$C$200,MATCH(B253,ref_preguntas!$A$2:$A$200,0)),"ID no existe"))</f>
        <v/>
      </c>
    </row>
    <row r="254">
      <c r="A254" s="10" t="inlineStr">
        <is>
          <t>MH-020</t>
        </is>
      </c>
      <c r="B254" s="10" t="inlineStr">
        <is>
          <t>P02</t>
        </is>
      </c>
      <c r="C254" s="10" t="inlineStr"/>
      <c r="D254" s="10" t="inlineStr">
        <is>
          <t>La Carpita del Sabor</t>
        </is>
      </c>
      <c r="E254" s="10" t="inlineStr">
        <is>
          <t>EXPLICITO</t>
        </is>
      </c>
      <c r="F254" s="10" t="inlineStr">
        <is>
          <t>Título</t>
        </is>
      </c>
      <c r="G254" s="12">
        <f>IF(B254="","",IFERROR(INDEX(ref_preguntas!$C$2:$C$200,MATCH(B254,ref_preguntas!$A$2:$A$200,0)),"ID no existe"))</f>
        <v/>
      </c>
    </row>
    <row r="255">
      <c r="A255" s="10" t="inlineStr">
        <is>
          <t>MH-020</t>
        </is>
      </c>
      <c r="B255" s="10" t="inlineStr">
        <is>
          <t>P06</t>
        </is>
      </c>
      <c r="C255" s="10" t="inlineStr"/>
      <c r="D255" s="10" t="inlineStr">
        <is>
          <t>2025-01-08</t>
        </is>
      </c>
      <c r="E255" s="10" t="inlineStr">
        <is>
          <t>EXPLICITO</t>
        </is>
      </c>
      <c r="F255" s="10" t="inlineStr">
        <is>
          <t>Fecha y hora</t>
        </is>
      </c>
      <c r="G255" s="12">
        <f>IF(B255="","",IFERROR(INDEX(ref_preguntas!$C$2:$C$200,MATCH(B255,ref_preguntas!$A$2:$A$200,0)),"ID no existe"))</f>
        <v/>
      </c>
    </row>
    <row r="256">
      <c r="A256" s="10" t="inlineStr">
        <is>
          <t>MH-020</t>
        </is>
      </c>
      <c r="B256" s="10" t="inlineStr">
        <is>
          <t>P09</t>
        </is>
      </c>
      <c r="C256" s="10" t="inlineStr"/>
      <c r="D256" s="10" t="inlineStr">
        <is>
          <t>RESTAURANTE</t>
        </is>
      </c>
      <c r="E256" s="10" t="inlineStr">
        <is>
          <t>EXPLICITO</t>
        </is>
      </c>
      <c r="F256" s="10" t="inlineStr">
        <is>
          <t>Rubro confirmado por el equipo (2026-10-10)</t>
        </is>
      </c>
      <c r="G256" s="12">
        <f>IF(B256="","",IFERROR(INDEX(ref_preguntas!$C$2:$C$200,MATCH(B256,ref_preguntas!$A$2:$A$200,0)),"ID no existe"))</f>
        <v/>
      </c>
    </row>
    <row r="257">
      <c r="A257" s="10" t="inlineStr">
        <is>
          <t>MH-020</t>
        </is>
      </c>
      <c r="B257" s="10" t="inlineStr">
        <is>
          <t>P03</t>
        </is>
      </c>
      <c r="C257" s="10" t="inlineStr"/>
      <c r="D257" s="10" t="inlineStr">
        <is>
          <t>Av. San Luis 2656, San Borja 15037</t>
        </is>
      </c>
      <c r="E257" s="10" t="inlineStr">
        <is>
          <t>EXPLICITO</t>
        </is>
      </c>
      <c r="F257" s="10" t="inlineStr">
        <is>
          <t>Dirección</t>
        </is>
      </c>
      <c r="G257" s="12">
        <f>IF(B257="","",IFERROR(INDEX(ref_preguntas!$C$2:$C$200,MATCH(B257,ref_preguntas!$A$2:$A$200,0)),"ID no existe"))</f>
        <v/>
      </c>
    </row>
    <row r="258">
      <c r="A258" s="10" t="inlineStr">
        <is>
          <t>MH-020</t>
        </is>
      </c>
      <c r="B258" s="10" t="inlineStr">
        <is>
          <t>P04</t>
        </is>
      </c>
      <c r="C258" s="10" t="inlineStr"/>
      <c r="D258" s="10" t="inlineStr">
        <is>
          <t>Yessenia</t>
        </is>
      </c>
      <c r="E258" s="10" t="inlineStr">
        <is>
          <t>EXPLICITO</t>
        </is>
      </c>
      <c r="F258" s="10" t="inlineStr">
        <is>
          <t>Team cliente</t>
        </is>
      </c>
      <c r="G258" s="12">
        <f>IF(B258="","",IFERROR(INDEX(ref_preguntas!$C$2:$C$200,MATCH(B258,ref_preguntas!$A$2:$A$200,0)),"ID no existe"))</f>
        <v/>
      </c>
    </row>
    <row r="259">
      <c r="A259" s="10" t="inlineStr">
        <is>
          <t>MH-020</t>
        </is>
      </c>
      <c r="B259" s="10" t="inlineStr">
        <is>
          <t>P10</t>
        </is>
      </c>
      <c r="C259" s="10" t="inlineStr"/>
      <c r="D259" s="10" t="inlineStr">
        <is>
          <t>2</t>
        </is>
      </c>
      <c r="E259" s="10" t="inlineStr">
        <is>
          <t>EXPLICITO</t>
        </is>
      </c>
      <c r="F259" s="10" t="inlineStr">
        <is>
          <t>Zonas por piso</t>
        </is>
      </c>
      <c r="G259" s="12">
        <f>IF(B259="","",IFERROR(INDEX(ref_preguntas!$C$2:$C$200,MATCH(B259,ref_preguntas!$A$2:$A$200,0)),"ID no existe"))</f>
        <v/>
      </c>
    </row>
    <row r="260">
      <c r="A260" s="10" t="inlineStr">
        <is>
          <t>MH-020</t>
        </is>
      </c>
      <c r="B260" s="10" t="inlineStr">
        <is>
          <t>P12</t>
        </is>
      </c>
      <c r="C260" s="10" t="inlineStr"/>
      <c r="D260" s="10" t="inlineStr">
        <is>
          <t>1</t>
        </is>
      </c>
      <c r="E260" s="10" t="inlineStr">
        <is>
          <t>INFERIDO</t>
        </is>
      </c>
      <c r="F260" s="10" t="inlineStr">
        <is>
          <t>Cajas mencionadas</t>
        </is>
      </c>
      <c r="G260" s="12">
        <f>IF(B260="","",IFERROR(INDEX(ref_preguntas!$C$2:$C$200,MATCH(B260,ref_preguntas!$A$2:$A$200,0)),"ID no existe"))</f>
        <v/>
      </c>
    </row>
    <row r="261">
      <c r="A261" s="10" t="inlineStr">
        <is>
          <t>MH-020</t>
        </is>
      </c>
      <c r="B261" s="10" t="inlineStr">
        <is>
          <t>P51</t>
        </is>
      </c>
      <c r="C261" s="10" t="inlineStr"/>
      <c r="D261" s="10" t="inlineStr">
        <is>
          <t>ID: Kevin · Cliente: Yessenia</t>
        </is>
      </c>
      <c r="E261" s="10" t="inlineStr">
        <is>
          <t>EXPLICITO</t>
        </is>
      </c>
      <c r="F261" s="10" t="inlineStr">
        <is>
          <t>Asistentes</t>
        </is>
      </c>
      <c r="G261" s="12">
        <f>IF(B261="","",IFERROR(INDEX(ref_preguntas!$C$2:$C$200,MATCH(B261,ref_preguntas!$A$2:$A$200,0)),"ID no existe"))</f>
        <v/>
      </c>
    </row>
    <row r="262">
      <c r="A262" s="10" t="inlineStr">
        <is>
          <t>MH-021</t>
        </is>
      </c>
      <c r="B262" s="10" t="inlineStr">
        <is>
          <t>P01</t>
        </is>
      </c>
      <c r="C262" s="10" t="inlineStr"/>
      <c r="D262" s="10" t="inlineStr">
        <is>
          <t>Los Juárez</t>
        </is>
      </c>
      <c r="E262" s="10" t="inlineStr">
        <is>
          <t>EXPLICITO</t>
        </is>
      </c>
      <c r="F262" s="10" t="inlineStr">
        <is>
          <t>Título</t>
        </is>
      </c>
      <c r="G262" s="12">
        <f>IF(B262="","",IFERROR(INDEX(ref_preguntas!$C$2:$C$200,MATCH(B262,ref_preguntas!$A$2:$A$200,0)),"ID no existe"))</f>
        <v/>
      </c>
    </row>
    <row r="263">
      <c r="A263" s="10" t="inlineStr">
        <is>
          <t>MH-021</t>
        </is>
      </c>
      <c r="B263" s="10" t="inlineStr">
        <is>
          <t>P02</t>
        </is>
      </c>
      <c r="C263" s="10" t="inlineStr"/>
      <c r="D263" s="10" t="inlineStr">
        <is>
          <t>Los Juárez Asia</t>
        </is>
      </c>
      <c r="E263" s="10" t="inlineStr">
        <is>
          <t>EXPLICITO</t>
        </is>
      </c>
      <c r="F263" s="10" t="inlineStr">
        <is>
          <t>Título</t>
        </is>
      </c>
      <c r="G263" s="12">
        <f>IF(B263="","",IFERROR(INDEX(ref_preguntas!$C$2:$C$200,MATCH(B263,ref_preguntas!$A$2:$A$200,0)),"ID no existe"))</f>
        <v/>
      </c>
    </row>
    <row r="264">
      <c r="A264" s="10" t="inlineStr">
        <is>
          <t>MH-021</t>
        </is>
      </c>
      <c r="B264" s="10" t="inlineStr">
        <is>
          <t>P06</t>
        </is>
      </c>
      <c r="C264" s="10" t="inlineStr"/>
      <c r="D264" s="10" t="inlineStr">
        <is>
          <t>2025-12-30</t>
        </is>
      </c>
      <c r="E264" s="10" t="inlineStr">
        <is>
          <t>EXPLICITO</t>
        </is>
      </c>
      <c r="F264" s="10" t="inlineStr">
        <is>
          <t>Fecha y hora</t>
        </is>
      </c>
      <c r="G264" s="12">
        <f>IF(B264="","",IFERROR(INDEX(ref_preguntas!$C$2:$C$200,MATCH(B264,ref_preguntas!$A$2:$A$200,0)),"ID no existe"))</f>
        <v/>
      </c>
    </row>
    <row r="265">
      <c r="A265" s="10" t="inlineStr">
        <is>
          <t>MH-021</t>
        </is>
      </c>
      <c r="B265" s="10" t="inlineStr">
        <is>
          <t>P09</t>
        </is>
      </c>
      <c r="C265" s="10" t="inlineStr"/>
      <c r="D265" s="10" t="inlineStr">
        <is>
          <t>RESTOBAR</t>
        </is>
      </c>
      <c r="E265" s="10" t="inlineStr">
        <is>
          <t>EXPLICITO</t>
        </is>
      </c>
      <c r="F265" s="10" t="inlineStr">
        <is>
          <t>Rubro confirmado por el equipo (2026-10-10)</t>
        </is>
      </c>
      <c r="G265" s="12">
        <f>IF(B265="","",IFERROR(INDEX(ref_preguntas!$C$2:$C$200,MATCH(B265,ref_preguntas!$A$2:$A$200,0)),"ID no existe"))</f>
        <v/>
      </c>
    </row>
    <row r="266">
      <c r="A266" s="10" t="inlineStr">
        <is>
          <t>MH-021</t>
        </is>
      </c>
      <c r="B266" s="10" t="inlineStr">
        <is>
          <t>P03</t>
        </is>
      </c>
      <c r="C266" s="10" t="inlineStr"/>
      <c r="D266" s="10" t="inlineStr">
        <is>
          <t>Boulevard de Asia</t>
        </is>
      </c>
      <c r="E266" s="10" t="inlineStr">
        <is>
          <t>EXPLICITO</t>
        </is>
      </c>
      <c r="F266" s="10" t="inlineStr">
        <is>
          <t>Dirección</t>
        </is>
      </c>
      <c r="G266" s="12">
        <f>IF(B266="","",IFERROR(INDEX(ref_preguntas!$C$2:$C$200,MATCH(B266,ref_preguntas!$A$2:$A$200,0)),"ID no existe"))</f>
        <v/>
      </c>
    </row>
    <row r="267">
      <c r="A267" s="10" t="inlineStr">
        <is>
          <t>MH-021</t>
        </is>
      </c>
      <c r="B267" s="10" t="inlineStr">
        <is>
          <t>P04</t>
        </is>
      </c>
      <c r="C267" s="10" t="inlineStr"/>
      <c r="D267" s="10" t="inlineStr">
        <is>
          <t>Jesús Pinto</t>
        </is>
      </c>
      <c r="E267" s="10" t="inlineStr">
        <is>
          <t>EXPLICITO</t>
        </is>
      </c>
      <c r="F267" s="10" t="inlineStr">
        <is>
          <t>Team cliente</t>
        </is>
      </c>
      <c r="G267" s="12">
        <f>IF(B267="","",IFERROR(INDEX(ref_preguntas!$C$2:$C$200,MATCH(B267,ref_preguntas!$A$2:$A$200,0)),"ID no existe"))</f>
        <v/>
      </c>
    </row>
    <row r="268">
      <c r="A268" s="10" t="inlineStr">
        <is>
          <t>MH-021</t>
        </is>
      </c>
      <c r="B268" s="10" t="inlineStr">
        <is>
          <t>P10</t>
        </is>
      </c>
      <c r="C268" s="10" t="inlineStr"/>
      <c r="D268" s="10" t="inlineStr">
        <is>
          <t>2</t>
        </is>
      </c>
      <c r="E268" s="10" t="inlineStr">
        <is>
          <t>EXPLICITO</t>
        </is>
      </c>
      <c r="F268" s="10" t="inlineStr">
        <is>
          <t>Zonas por piso</t>
        </is>
      </c>
      <c r="G268" s="12">
        <f>IF(B268="","",IFERROR(INDEX(ref_preguntas!$C$2:$C$200,MATCH(B268,ref_preguntas!$A$2:$A$200,0)),"ID no existe"))</f>
        <v/>
      </c>
    </row>
    <row r="269">
      <c r="A269" s="10" t="inlineStr">
        <is>
          <t>MH-021</t>
        </is>
      </c>
      <c r="B269" s="10" t="inlineStr">
        <is>
          <t>P14</t>
        </is>
      </c>
      <c r="C269" s="10" t="inlineStr"/>
      <c r="D269" s="10" t="inlineStr">
        <is>
          <t>NO_TIENE</t>
        </is>
      </c>
      <c r="E269" s="10" t="inlineStr">
        <is>
          <t>EXPLICITO</t>
        </is>
      </c>
      <c r="F269" s="10" t="inlineStr">
        <is>
          <t>Velocidad / red</t>
        </is>
      </c>
      <c r="G269" s="12">
        <f>IF(B269="","",IFERROR(INDEX(ref_preguntas!$C$2:$C$200,MATCH(B269,ref_preguntas!$A$2:$A$200,0)),"ID no existe"))</f>
        <v/>
      </c>
    </row>
    <row r="270">
      <c r="A270" s="10" t="inlineStr">
        <is>
          <t>MH-021</t>
        </is>
      </c>
      <c r="B270" s="10" t="inlineStr">
        <is>
          <t>P51</t>
        </is>
      </c>
      <c r="C270" s="10" t="inlineStr"/>
      <c r="D270" s="10" t="inlineStr">
        <is>
          <t>ID: Kevin · Cliente: Jesús Pinto</t>
        </is>
      </c>
      <c r="E270" s="10" t="inlineStr">
        <is>
          <t>EXPLICITO</t>
        </is>
      </c>
      <c r="F270" s="10" t="inlineStr">
        <is>
          <t>Asistentes</t>
        </is>
      </c>
      <c r="G270" s="12">
        <f>IF(B270="","",IFERROR(INDEX(ref_preguntas!$C$2:$C$200,MATCH(B270,ref_preguntas!$A$2:$A$200,0)),"ID no existe"))</f>
        <v/>
      </c>
    </row>
    <row r="271">
      <c r="A271" s="10" t="inlineStr">
        <is>
          <t>MH-022</t>
        </is>
      </c>
      <c r="B271" s="10" t="inlineStr">
        <is>
          <t>P01</t>
        </is>
      </c>
      <c r="C271" s="10" t="inlineStr"/>
      <c r="D271" s="10" t="inlineStr">
        <is>
          <t>Mala Vida</t>
        </is>
      </c>
      <c r="E271" s="10" t="inlineStr">
        <is>
          <t>EXPLICITO</t>
        </is>
      </c>
      <c r="F271" s="10" t="inlineStr">
        <is>
          <t>Título</t>
        </is>
      </c>
      <c r="G271" s="12">
        <f>IF(B271="","",IFERROR(INDEX(ref_preguntas!$C$2:$C$200,MATCH(B271,ref_preguntas!$A$2:$A$200,0)),"ID no existe"))</f>
        <v/>
      </c>
    </row>
    <row r="272">
      <c r="A272" s="10" t="inlineStr">
        <is>
          <t>MH-022</t>
        </is>
      </c>
      <c r="B272" s="10" t="inlineStr">
        <is>
          <t>P02</t>
        </is>
      </c>
      <c r="C272" s="10" t="inlineStr"/>
      <c r="D272" s="10" t="inlineStr">
        <is>
          <t>Mala Vida</t>
        </is>
      </c>
      <c r="E272" s="10" t="inlineStr">
        <is>
          <t>EXPLICITO</t>
        </is>
      </c>
      <c r="F272" s="10" t="inlineStr">
        <is>
          <t>Título</t>
        </is>
      </c>
      <c r="G272" s="12">
        <f>IF(B272="","",IFERROR(INDEX(ref_preguntas!$C$2:$C$200,MATCH(B272,ref_preguntas!$A$2:$A$200,0)),"ID no existe"))</f>
        <v/>
      </c>
    </row>
    <row r="273">
      <c r="A273" s="10" t="inlineStr">
        <is>
          <t>MH-022</t>
        </is>
      </c>
      <c r="B273" s="10" t="inlineStr">
        <is>
          <t>P06</t>
        </is>
      </c>
      <c r="C273" s="10" t="inlineStr"/>
      <c r="D273" s="10" t="inlineStr">
        <is>
          <t>2025-05-09</t>
        </is>
      </c>
      <c r="E273" s="10" t="inlineStr">
        <is>
          <t>EXPLICITO</t>
        </is>
      </c>
      <c r="F273" s="10" t="inlineStr">
        <is>
          <t>Fecha y hora</t>
        </is>
      </c>
      <c r="G273" s="12">
        <f>IF(B273="","",IFERROR(INDEX(ref_preguntas!$C$2:$C$200,MATCH(B273,ref_preguntas!$A$2:$A$200,0)),"ID no existe"))</f>
        <v/>
      </c>
    </row>
    <row r="274">
      <c r="A274" s="10" t="inlineStr">
        <is>
          <t>MH-022</t>
        </is>
      </c>
      <c r="B274" s="10" t="inlineStr">
        <is>
          <t>P09</t>
        </is>
      </c>
      <c r="C274" s="10" t="inlineStr"/>
      <c r="D274" s="10" t="inlineStr">
        <is>
          <t>DISCOTECA_BAR</t>
        </is>
      </c>
      <c r="E274" s="10" t="inlineStr">
        <is>
          <t>EXPLICITO</t>
        </is>
      </c>
      <c r="F274" s="10" t="inlineStr">
        <is>
          <t>Rubro confirmado por el equipo (2026-10-10)</t>
        </is>
      </c>
      <c r="G274" s="12">
        <f>IF(B274="","",IFERROR(INDEX(ref_preguntas!$C$2:$C$200,MATCH(B274,ref_preguntas!$A$2:$A$200,0)),"ID no existe"))</f>
        <v/>
      </c>
    </row>
    <row r="275">
      <c r="A275" s="10" t="inlineStr">
        <is>
          <t>MH-022</t>
        </is>
      </c>
      <c r="B275" s="10" t="inlineStr">
        <is>
          <t>P03</t>
        </is>
      </c>
      <c r="C275" s="10" t="inlineStr"/>
      <c r="D275" s="10" t="inlineStr">
        <is>
          <t>Calle Tarata 150, Miraflores</t>
        </is>
      </c>
      <c r="E275" s="10" t="inlineStr">
        <is>
          <t>EXPLICITO</t>
        </is>
      </c>
      <c r="F275" s="10" t="inlineStr">
        <is>
          <t>Dirección</t>
        </is>
      </c>
      <c r="G275" s="12">
        <f>IF(B275="","",IFERROR(INDEX(ref_preguntas!$C$2:$C$200,MATCH(B275,ref_preguntas!$A$2:$A$200,0)),"ID no existe"))</f>
        <v/>
      </c>
    </row>
    <row r="276">
      <c r="A276" s="10" t="inlineStr">
        <is>
          <t>MH-022</t>
        </is>
      </c>
      <c r="B276" s="10" t="inlineStr">
        <is>
          <t>P04</t>
        </is>
      </c>
      <c r="C276" s="10" t="inlineStr"/>
      <c r="D276" s="10" t="inlineStr">
        <is>
          <t>Eduardo Salas</t>
        </is>
      </c>
      <c r="E276" s="10" t="inlineStr">
        <is>
          <t>EXPLICITO</t>
        </is>
      </c>
      <c r="F276" s="10" t="inlineStr">
        <is>
          <t>Team cliente</t>
        </is>
      </c>
      <c r="G276" s="12">
        <f>IF(B276="","",IFERROR(INDEX(ref_preguntas!$C$2:$C$200,MATCH(B276,ref_preguntas!$A$2:$A$200,0)),"ID no existe"))</f>
        <v/>
      </c>
    </row>
    <row r="277">
      <c r="A277" s="10" t="inlineStr">
        <is>
          <t>MH-022</t>
        </is>
      </c>
      <c r="B277" s="10" t="inlineStr">
        <is>
          <t>P13</t>
        </is>
      </c>
      <c r="C277" s="10" t="inlineStr"/>
      <c r="D277" s="10" t="inlineStr">
        <is>
          <t>WIN</t>
        </is>
      </c>
      <c r="E277" s="10" t="inlineStr">
        <is>
          <t>EXPLICITO</t>
        </is>
      </c>
      <c r="F277" s="10" t="inlineStr">
        <is>
          <t>Velocidad / red</t>
        </is>
      </c>
      <c r="G277" s="12">
        <f>IF(B277="","",IFERROR(INDEX(ref_preguntas!$C$2:$C$200,MATCH(B277,ref_preguntas!$A$2:$A$200,0)),"ID no existe"))</f>
        <v/>
      </c>
    </row>
    <row r="278">
      <c r="A278" s="10" t="inlineStr">
        <is>
          <t>MH-022</t>
        </is>
      </c>
      <c r="B278" s="10" t="inlineStr">
        <is>
          <t>P51</t>
        </is>
      </c>
      <c r="C278" s="10" t="inlineStr"/>
      <c r="D278" s="10" t="inlineStr">
        <is>
          <t>ID: Kevin, Sera · Cliente: Eduardo Salas</t>
        </is>
      </c>
      <c r="E278" s="10" t="inlineStr">
        <is>
          <t>EXPLICITO</t>
        </is>
      </c>
      <c r="F278" s="10" t="inlineStr">
        <is>
          <t>Asistentes</t>
        </is>
      </c>
      <c r="G278" s="12">
        <f>IF(B278="","",IFERROR(INDEX(ref_preguntas!$C$2:$C$200,MATCH(B278,ref_preguntas!$A$2:$A$200,0)),"ID no existe"))</f>
        <v/>
      </c>
    </row>
    <row r="279">
      <c r="A279" s="10" t="inlineStr">
        <is>
          <t>MH-023</t>
        </is>
      </c>
      <c r="B279" s="10" t="inlineStr">
        <is>
          <t>P01</t>
        </is>
      </c>
      <c r="C279" s="10" t="inlineStr"/>
      <c r="D279" s="10" t="inlineStr">
        <is>
          <t>Huambra</t>
        </is>
      </c>
      <c r="E279" s="10" t="inlineStr">
        <is>
          <t>EXPLICITO</t>
        </is>
      </c>
      <c r="F279" s="10" t="inlineStr">
        <is>
          <t>Título</t>
        </is>
      </c>
      <c r="G279" s="12">
        <f>IF(B279="","",IFERROR(INDEX(ref_preguntas!$C$2:$C$200,MATCH(B279,ref_preguntas!$A$2:$A$200,0)),"ID no existe"))</f>
        <v/>
      </c>
    </row>
    <row r="280">
      <c r="A280" s="10" t="inlineStr">
        <is>
          <t>MH-023</t>
        </is>
      </c>
      <c r="B280" s="10" t="inlineStr">
        <is>
          <t>P02</t>
        </is>
      </c>
      <c r="C280" s="10" t="inlineStr"/>
      <c r="D280" s="10" t="inlineStr">
        <is>
          <t>Huambra</t>
        </is>
      </c>
      <c r="E280" s="10" t="inlineStr">
        <is>
          <t>EXPLICITO</t>
        </is>
      </c>
      <c r="F280" s="10" t="inlineStr">
        <is>
          <t>Título</t>
        </is>
      </c>
      <c r="G280" s="12">
        <f>IF(B280="","",IFERROR(INDEX(ref_preguntas!$C$2:$C$200,MATCH(B280,ref_preguntas!$A$2:$A$200,0)),"ID no existe"))</f>
        <v/>
      </c>
    </row>
    <row r="281">
      <c r="A281" s="10" t="inlineStr">
        <is>
          <t>MH-023</t>
        </is>
      </c>
      <c r="B281" s="10" t="inlineStr">
        <is>
          <t>P06</t>
        </is>
      </c>
      <c r="C281" s="10" t="inlineStr"/>
      <c r="D281" s="10" t="inlineStr">
        <is>
          <t>2024-11-11</t>
        </is>
      </c>
      <c r="E281" s="10" t="inlineStr">
        <is>
          <t>EXPLICITO</t>
        </is>
      </c>
      <c r="F281" s="10" t="inlineStr">
        <is>
          <t>Fecha y hora</t>
        </is>
      </c>
      <c r="G281" s="12">
        <f>IF(B281="","",IFERROR(INDEX(ref_preguntas!$C$2:$C$200,MATCH(B281,ref_preguntas!$A$2:$A$200,0)),"ID no existe"))</f>
        <v/>
      </c>
    </row>
    <row r="282">
      <c r="A282" s="10" t="inlineStr">
        <is>
          <t>MH-023</t>
        </is>
      </c>
      <c r="B282" s="10" t="inlineStr">
        <is>
          <t>P09</t>
        </is>
      </c>
      <c r="C282" s="10" t="inlineStr"/>
      <c r="D282" s="10" t="inlineStr">
        <is>
          <t>RESTAURANTE</t>
        </is>
      </c>
      <c r="E282" s="10" t="inlineStr">
        <is>
          <t>EXPLICITO</t>
        </is>
      </c>
      <c r="F282" s="10" t="inlineStr">
        <is>
          <t>Rubro confirmado por el equipo (2026-10-10)</t>
        </is>
      </c>
      <c r="G282" s="12">
        <f>IF(B282="","",IFERROR(INDEX(ref_preguntas!$C$2:$C$200,MATCH(B282,ref_preguntas!$A$2:$A$200,0)),"ID no existe"))</f>
        <v/>
      </c>
    </row>
    <row r="283">
      <c r="A283" s="10" t="inlineStr">
        <is>
          <t>MH-023</t>
        </is>
      </c>
      <c r="B283" s="10" t="inlineStr">
        <is>
          <t>P03</t>
        </is>
      </c>
      <c r="C283" s="10" t="inlineStr"/>
      <c r="D283" s="10" t="inlineStr">
        <is>
          <t>Miraflores</t>
        </is>
      </c>
      <c r="E283" s="10" t="inlineStr">
        <is>
          <t>EXPLICITO</t>
        </is>
      </c>
      <c r="F283" s="10" t="inlineStr">
        <is>
          <t>Dirección</t>
        </is>
      </c>
      <c r="G283" s="12">
        <f>IF(B283="","",IFERROR(INDEX(ref_preguntas!$C$2:$C$200,MATCH(B283,ref_preguntas!$A$2:$A$200,0)),"ID no existe"))</f>
        <v/>
      </c>
    </row>
    <row r="284">
      <c r="A284" s="10" t="inlineStr">
        <is>
          <t>MH-023</t>
        </is>
      </c>
      <c r="B284" s="10" t="inlineStr">
        <is>
          <t>P04</t>
        </is>
      </c>
      <c r="C284" s="10" t="inlineStr"/>
      <c r="D284" s="10" t="inlineStr">
        <is>
          <t>Juan Pablo</t>
        </is>
      </c>
      <c r="E284" s="10" t="inlineStr">
        <is>
          <t>EXPLICITO</t>
        </is>
      </c>
      <c r="F284" s="10" t="inlineStr">
        <is>
          <t>Team cliente</t>
        </is>
      </c>
      <c r="G284" s="12">
        <f>IF(B284="","",IFERROR(INDEX(ref_preguntas!$C$2:$C$200,MATCH(B284,ref_preguntas!$A$2:$A$200,0)),"ID no existe"))</f>
        <v/>
      </c>
    </row>
    <row r="285">
      <c r="A285" s="10" t="inlineStr">
        <is>
          <t>MH-023</t>
        </is>
      </c>
      <c r="B285" s="10" t="inlineStr">
        <is>
          <t>P12</t>
        </is>
      </c>
      <c r="C285" s="10" t="inlineStr"/>
      <c r="D285" s="10" t="inlineStr">
        <is>
          <t>1</t>
        </is>
      </c>
      <c r="E285" s="10" t="inlineStr">
        <is>
          <t>INFERIDO</t>
        </is>
      </c>
      <c r="F285" s="10" t="inlineStr">
        <is>
          <t>Cajas mencionadas</t>
        </is>
      </c>
      <c r="G285" s="12">
        <f>IF(B285="","",IFERROR(INDEX(ref_preguntas!$C$2:$C$200,MATCH(B285,ref_preguntas!$A$2:$A$200,0)),"ID no existe"))</f>
        <v/>
      </c>
    </row>
    <row r="286">
      <c r="A286" s="10" t="inlineStr">
        <is>
          <t>MH-023</t>
        </is>
      </c>
      <c r="B286" s="10" t="inlineStr">
        <is>
          <t>P51</t>
        </is>
      </c>
      <c r="C286" s="10" t="inlineStr"/>
      <c r="D286" s="10" t="inlineStr">
        <is>
          <t>ID: Kevin · Cliente: Juan Pablo</t>
        </is>
      </c>
      <c r="E286" s="10" t="inlineStr">
        <is>
          <t>EXPLICITO</t>
        </is>
      </c>
      <c r="F286" s="10" t="inlineStr">
        <is>
          <t>Asistentes</t>
        </is>
      </c>
      <c r="G286" s="12">
        <f>IF(B286="","",IFERROR(INDEX(ref_preguntas!$C$2:$C$200,MATCH(B286,ref_preguntas!$A$2:$A$200,0)),"ID no existe"))</f>
        <v/>
      </c>
    </row>
    <row r="287">
      <c r="A287" s="10" t="inlineStr">
        <is>
          <t>MH-024</t>
        </is>
      </c>
      <c r="B287" s="10" t="inlineStr">
        <is>
          <t>P01</t>
        </is>
      </c>
      <c r="C287" s="10" t="inlineStr"/>
      <c r="D287" s="10" t="inlineStr">
        <is>
          <t>Saltao</t>
        </is>
      </c>
      <c r="E287" s="10" t="inlineStr">
        <is>
          <t>EXPLICITO</t>
        </is>
      </c>
      <c r="F287" s="10" t="inlineStr">
        <is>
          <t>Título</t>
        </is>
      </c>
      <c r="G287" s="12">
        <f>IF(B287="","",IFERROR(INDEX(ref_preguntas!$C$2:$C$200,MATCH(B287,ref_preguntas!$A$2:$A$200,0)),"ID no existe"))</f>
        <v/>
      </c>
    </row>
    <row r="288">
      <c r="A288" s="10" t="inlineStr">
        <is>
          <t>MH-024</t>
        </is>
      </c>
      <c r="B288" s="10" t="inlineStr">
        <is>
          <t>P02</t>
        </is>
      </c>
      <c r="C288" s="10" t="inlineStr"/>
      <c r="D288" s="10" t="inlineStr">
        <is>
          <t>Saltao Larcomar</t>
        </is>
      </c>
      <c r="E288" s="10" t="inlineStr">
        <is>
          <t>EXPLICITO</t>
        </is>
      </c>
      <c r="F288" s="10" t="inlineStr">
        <is>
          <t>Título</t>
        </is>
      </c>
      <c r="G288" s="12">
        <f>IF(B288="","",IFERROR(INDEX(ref_preguntas!$C$2:$C$200,MATCH(B288,ref_preguntas!$A$2:$A$200,0)),"ID no existe"))</f>
        <v/>
      </c>
    </row>
    <row r="289">
      <c r="A289" s="10" t="inlineStr">
        <is>
          <t>MH-024</t>
        </is>
      </c>
      <c r="B289" s="10" t="inlineStr">
        <is>
          <t>P06</t>
        </is>
      </c>
      <c r="C289" s="10" t="inlineStr"/>
      <c r="D289" s="10" t="inlineStr">
        <is>
          <t>2024-02-10</t>
        </is>
      </c>
      <c r="E289" s="10" t="inlineStr">
        <is>
          <t>EXPLICITO</t>
        </is>
      </c>
      <c r="F289" s="10" t="inlineStr">
        <is>
          <t>Fecha y hora</t>
        </is>
      </c>
      <c r="G289" s="12">
        <f>IF(B289="","",IFERROR(INDEX(ref_preguntas!$C$2:$C$200,MATCH(B289,ref_preguntas!$A$2:$A$200,0)),"ID no existe"))</f>
        <v/>
      </c>
    </row>
    <row r="290">
      <c r="A290" s="10" t="inlineStr">
        <is>
          <t>MH-024</t>
        </is>
      </c>
      <c r="B290" s="10" t="inlineStr">
        <is>
          <t>P09</t>
        </is>
      </c>
      <c r="C290" s="10" t="inlineStr"/>
      <c r="D290" s="10" t="inlineStr">
        <is>
          <t>FAST_FOOD</t>
        </is>
      </c>
      <c r="E290" s="10" t="inlineStr">
        <is>
          <t>EXPLICITO</t>
        </is>
      </c>
      <c r="F290" s="10" t="inlineStr">
        <is>
          <t>Rubro confirmado por el equipo (2026-10-10)</t>
        </is>
      </c>
      <c r="G290" s="12">
        <f>IF(B290="","",IFERROR(INDEX(ref_preguntas!$C$2:$C$200,MATCH(B290,ref_preguntas!$A$2:$A$200,0)),"ID no existe"))</f>
        <v/>
      </c>
    </row>
    <row r="291">
      <c r="A291" s="10" t="inlineStr">
        <is>
          <t>MH-024</t>
        </is>
      </c>
      <c r="B291" s="10" t="inlineStr">
        <is>
          <t>P03</t>
        </is>
      </c>
      <c r="C291" s="10" t="inlineStr"/>
      <c r="D291" s="10" t="inlineStr">
        <is>
          <t>Sótano 3 Larcomar (patio de comidas)</t>
        </is>
      </c>
      <c r="E291" s="10" t="inlineStr">
        <is>
          <t>EXPLICITO</t>
        </is>
      </c>
      <c r="F291" s="10" t="inlineStr">
        <is>
          <t>Dirección</t>
        </is>
      </c>
      <c r="G291" s="12">
        <f>IF(B291="","",IFERROR(INDEX(ref_preguntas!$C$2:$C$200,MATCH(B291,ref_preguntas!$A$2:$A$200,0)),"ID no existe"))</f>
        <v/>
      </c>
    </row>
    <row r="292">
      <c r="A292" s="10" t="inlineStr">
        <is>
          <t>MH-024</t>
        </is>
      </c>
      <c r="B292" s="10" t="inlineStr">
        <is>
          <t>P04</t>
        </is>
      </c>
      <c r="C292" s="10" t="inlineStr"/>
      <c r="D292" s="10" t="inlineStr">
        <is>
          <t>Vanessa Chinen, Sharon Rabanal</t>
        </is>
      </c>
      <c r="E292" s="10" t="inlineStr">
        <is>
          <t>EXPLICITO</t>
        </is>
      </c>
      <c r="F292" s="10" t="inlineStr">
        <is>
          <t>Team cliente</t>
        </is>
      </c>
      <c r="G292" s="12">
        <f>IF(B292="","",IFERROR(INDEX(ref_preguntas!$C$2:$C$200,MATCH(B292,ref_preguntas!$A$2:$A$200,0)),"ID no existe"))</f>
        <v/>
      </c>
    </row>
    <row r="293">
      <c r="A293" s="10" t="inlineStr">
        <is>
          <t>MH-024</t>
        </is>
      </c>
      <c r="B293" s="10" t="inlineStr">
        <is>
          <t>P12</t>
        </is>
      </c>
      <c r="C293" s="10" t="inlineStr"/>
      <c r="D293" s="10" t="inlineStr">
        <is>
          <t>1</t>
        </is>
      </c>
      <c r="E293" s="10" t="inlineStr">
        <is>
          <t>INFERIDO</t>
        </is>
      </c>
      <c r="F293" s="10" t="inlineStr">
        <is>
          <t>Cajas mencionadas</t>
        </is>
      </c>
      <c r="G293" s="12">
        <f>IF(B293="","",IFERROR(INDEX(ref_preguntas!$C$2:$C$200,MATCH(B293,ref_preguntas!$A$2:$A$200,0)),"ID no existe"))</f>
        <v/>
      </c>
    </row>
    <row r="294">
      <c r="A294" s="10" t="inlineStr">
        <is>
          <t>MH-024</t>
        </is>
      </c>
      <c r="B294" s="10" t="inlineStr">
        <is>
          <t>P13</t>
        </is>
      </c>
      <c r="C294" s="10" t="inlineStr"/>
      <c r="D294" s="10" t="inlineStr">
        <is>
          <t>ENTEL</t>
        </is>
      </c>
      <c r="E294" s="10" t="inlineStr">
        <is>
          <t>EXPLICITO</t>
        </is>
      </c>
      <c r="F294" s="10" t="inlineStr">
        <is>
          <t>Velocidad / red</t>
        </is>
      </c>
      <c r="G294" s="12">
        <f>IF(B294="","",IFERROR(INDEX(ref_preguntas!$C$2:$C$200,MATCH(B294,ref_preguntas!$A$2:$A$200,0)),"ID no existe"))</f>
        <v/>
      </c>
    </row>
    <row r="295">
      <c r="A295" s="10" t="inlineStr">
        <is>
          <t>MH-024</t>
        </is>
      </c>
      <c r="B295" s="10" t="inlineStr">
        <is>
          <t>P14</t>
        </is>
      </c>
      <c r="C295" s="10" t="inlineStr"/>
      <c r="D295" s="10" t="inlineStr">
        <is>
          <t>CHIP</t>
        </is>
      </c>
      <c r="E295" s="10" t="inlineStr">
        <is>
          <t>EXPLICITO</t>
        </is>
      </c>
      <c r="F295" s="10" t="inlineStr">
        <is>
          <t>Velocidad / red</t>
        </is>
      </c>
      <c r="G295" s="12">
        <f>IF(B295="","",IFERROR(INDEX(ref_preguntas!$C$2:$C$200,MATCH(B295,ref_preguntas!$A$2:$A$200,0)),"ID no existe"))</f>
        <v/>
      </c>
    </row>
    <row r="296">
      <c r="A296" s="10" t="inlineStr">
        <is>
          <t>MH-024</t>
        </is>
      </c>
      <c r="B296" s="10" t="inlineStr">
        <is>
          <t>P51</t>
        </is>
      </c>
      <c r="C296" s="10" t="inlineStr"/>
      <c r="D296" s="10" t="inlineStr">
        <is>
          <t>ID: Kevin Flores · Cliente: Vanessa Chinen, Sharon Rabanal</t>
        </is>
      </c>
      <c r="E296" s="10" t="inlineStr">
        <is>
          <t>EXPLICITO</t>
        </is>
      </c>
      <c r="F296" s="10" t="inlineStr">
        <is>
          <t>Asistentes</t>
        </is>
      </c>
      <c r="G296" s="12">
        <f>IF(B296="","",IFERROR(INDEX(ref_preguntas!$C$2:$C$200,MATCH(B296,ref_preguntas!$A$2:$A$200,0)),"ID no existe"))</f>
        <v/>
      </c>
    </row>
    <row r="297">
      <c r="A297" s="10" t="inlineStr">
        <is>
          <t>MH-025</t>
        </is>
      </c>
      <c r="B297" s="10" t="inlineStr">
        <is>
          <t>P01</t>
        </is>
      </c>
      <c r="C297" s="10" t="inlineStr"/>
      <c r="D297" s="10" t="inlineStr">
        <is>
          <t>Maki Sam</t>
        </is>
      </c>
      <c r="E297" s="10" t="inlineStr">
        <is>
          <t>EXPLICITO</t>
        </is>
      </c>
      <c r="F297" s="10" t="inlineStr">
        <is>
          <t>Título</t>
        </is>
      </c>
      <c r="G297" s="12">
        <f>IF(B297="","",IFERROR(INDEX(ref_preguntas!$C$2:$C$200,MATCH(B297,ref_preguntas!$A$2:$A$200,0)),"ID no existe"))</f>
        <v/>
      </c>
    </row>
    <row r="298">
      <c r="A298" s="10" t="inlineStr">
        <is>
          <t>MH-025</t>
        </is>
      </c>
      <c r="B298" s="10" t="inlineStr">
        <is>
          <t>P02</t>
        </is>
      </c>
      <c r="C298" s="10" t="inlineStr"/>
      <c r="D298" s="10" t="inlineStr">
        <is>
          <t>Maki Sam Real Plaza</t>
        </is>
      </c>
      <c r="E298" s="10" t="inlineStr">
        <is>
          <t>EXPLICITO</t>
        </is>
      </c>
      <c r="F298" s="10" t="inlineStr">
        <is>
          <t>Título</t>
        </is>
      </c>
      <c r="G298" s="12">
        <f>IF(B298="","",IFERROR(INDEX(ref_preguntas!$C$2:$C$200,MATCH(B298,ref_preguntas!$A$2:$A$200,0)),"ID no existe"))</f>
        <v/>
      </c>
    </row>
    <row r="299">
      <c r="A299" s="10" t="inlineStr">
        <is>
          <t>MH-025</t>
        </is>
      </c>
      <c r="B299" s="10" t="inlineStr">
        <is>
          <t>P06</t>
        </is>
      </c>
      <c r="C299" s="10" t="inlineStr"/>
      <c r="D299" s="10" t="inlineStr">
        <is>
          <t>2024-10-15</t>
        </is>
      </c>
      <c r="E299" s="10" t="inlineStr">
        <is>
          <t>EXPLICITO</t>
        </is>
      </c>
      <c r="F299" s="10" t="inlineStr">
        <is>
          <t>Fecha y hora</t>
        </is>
      </c>
      <c r="G299" s="12">
        <f>IF(B299="","",IFERROR(INDEX(ref_preguntas!$C$2:$C$200,MATCH(B299,ref_preguntas!$A$2:$A$200,0)),"ID no existe"))</f>
        <v/>
      </c>
    </row>
    <row r="300">
      <c r="A300" s="10" t="inlineStr">
        <is>
          <t>MH-025</t>
        </is>
      </c>
      <c r="B300" s="10" t="inlineStr">
        <is>
          <t>P09</t>
        </is>
      </c>
      <c r="C300" s="10" t="inlineStr"/>
      <c r="D300" s="10" t="inlineStr">
        <is>
          <t>REST_ORIENTAL</t>
        </is>
      </c>
      <c r="E300" s="10" t="inlineStr">
        <is>
          <t>EXPLICITO</t>
        </is>
      </c>
      <c r="F300" s="10" t="inlineStr">
        <is>
          <t>Rubro confirmado por el equipo (2026-10-10)</t>
        </is>
      </c>
      <c r="G300" s="12">
        <f>IF(B300="","",IFERROR(INDEX(ref_preguntas!$C$2:$C$200,MATCH(B300,ref_preguntas!$A$2:$A$200,0)),"ID no existe"))</f>
        <v/>
      </c>
    </row>
    <row r="301">
      <c r="A301" s="10" t="inlineStr">
        <is>
          <t>MH-025</t>
        </is>
      </c>
      <c r="B301" s="10" t="inlineStr">
        <is>
          <t>P03</t>
        </is>
      </c>
      <c r="C301" s="10" t="inlineStr"/>
      <c r="D301" s="10" t="inlineStr">
        <is>
          <t>Real Plaza Trujillo</t>
        </is>
      </c>
      <c r="E301" s="10" t="inlineStr">
        <is>
          <t>EXPLICITO</t>
        </is>
      </c>
      <c r="F301" s="10" t="inlineStr">
        <is>
          <t>Dirección</t>
        </is>
      </c>
      <c r="G301" s="12">
        <f>IF(B301="","",IFERROR(INDEX(ref_preguntas!$C$2:$C$200,MATCH(B301,ref_preguntas!$A$2:$A$200,0)),"ID no existe"))</f>
        <v/>
      </c>
    </row>
    <row r="302">
      <c r="A302" s="10" t="inlineStr">
        <is>
          <t>MH-025</t>
        </is>
      </c>
      <c r="B302" s="10" t="inlineStr">
        <is>
          <t>P04</t>
        </is>
      </c>
      <c r="C302" s="10" t="inlineStr"/>
      <c r="D302" s="10" t="inlineStr">
        <is>
          <t>Vanessa</t>
        </is>
      </c>
      <c r="E302" s="10" t="inlineStr">
        <is>
          <t>EXPLICITO</t>
        </is>
      </c>
      <c r="F302" s="10" t="inlineStr">
        <is>
          <t>Team cliente</t>
        </is>
      </c>
      <c r="G302" s="12">
        <f>IF(B302="","",IFERROR(INDEX(ref_preguntas!$C$2:$C$200,MATCH(B302,ref_preguntas!$A$2:$A$200,0)),"ID no existe"))</f>
        <v/>
      </c>
    </row>
    <row r="303">
      <c r="A303" s="10" t="inlineStr">
        <is>
          <t>MH-025</t>
        </is>
      </c>
      <c r="B303" s="10" t="inlineStr">
        <is>
          <t>P12</t>
        </is>
      </c>
      <c r="C303" s="10" t="inlineStr"/>
      <c r="D303" s="10" t="inlineStr">
        <is>
          <t>1</t>
        </is>
      </c>
      <c r="E303" s="10" t="inlineStr">
        <is>
          <t>INFERIDO</t>
        </is>
      </c>
      <c r="F303" s="10" t="inlineStr">
        <is>
          <t>Cajas mencionadas</t>
        </is>
      </c>
      <c r="G303" s="12">
        <f>IF(B303="","",IFERROR(INDEX(ref_preguntas!$C$2:$C$200,MATCH(B303,ref_preguntas!$A$2:$A$200,0)),"ID no existe"))</f>
        <v/>
      </c>
    </row>
    <row r="304">
      <c r="A304" s="10" t="inlineStr">
        <is>
          <t>MH-025</t>
        </is>
      </c>
      <c r="B304" s="10" t="inlineStr">
        <is>
          <t>P14</t>
        </is>
      </c>
      <c r="C304" s="10" t="inlineStr"/>
      <c r="D304" s="10" t="inlineStr">
        <is>
          <t>FIBRA</t>
        </is>
      </c>
      <c r="E304" s="10" t="inlineStr">
        <is>
          <t>EXPLICITO</t>
        </is>
      </c>
      <c r="F304" s="10" t="inlineStr">
        <is>
          <t>Velocidad / red</t>
        </is>
      </c>
      <c r="G304" s="12">
        <f>IF(B304="","",IFERROR(INDEX(ref_preguntas!$C$2:$C$200,MATCH(B304,ref_preguntas!$A$2:$A$200,0)),"ID no existe"))</f>
        <v/>
      </c>
    </row>
    <row r="305">
      <c r="A305" s="10" t="inlineStr">
        <is>
          <t>MH-025</t>
        </is>
      </c>
      <c r="B305" s="10" t="inlineStr">
        <is>
          <t>P51</t>
        </is>
      </c>
      <c r="C305" s="10" t="inlineStr"/>
      <c r="D305" s="10" t="inlineStr">
        <is>
          <t>ID: Kimberly Huamani · Cliente: Vanessa</t>
        </is>
      </c>
      <c r="E305" s="10" t="inlineStr">
        <is>
          <t>EXPLICITO</t>
        </is>
      </c>
      <c r="F305" s="10" t="inlineStr">
        <is>
          <t>Asistentes</t>
        </is>
      </c>
      <c r="G305" s="12">
        <f>IF(B305="","",IFERROR(INDEX(ref_preguntas!$C$2:$C$200,MATCH(B305,ref_preguntas!$A$2:$A$200,0)),"ID no existe"))</f>
        <v/>
      </c>
    </row>
    <row r="306">
      <c r="A306" s="10" t="inlineStr">
        <is>
          <t>MH-026</t>
        </is>
      </c>
      <c r="B306" s="10" t="inlineStr">
        <is>
          <t>P01</t>
        </is>
      </c>
      <c r="C306" s="10" t="inlineStr"/>
      <c r="D306" s="10" t="inlineStr">
        <is>
          <t>Maki Sam</t>
        </is>
      </c>
      <c r="E306" s="10" t="inlineStr">
        <is>
          <t>EXPLICITO</t>
        </is>
      </c>
      <c r="F306" s="10" t="inlineStr">
        <is>
          <t>Título</t>
        </is>
      </c>
      <c r="G306" s="12">
        <f>IF(B306="","",IFERROR(INDEX(ref_preguntas!$C$2:$C$200,MATCH(B306,ref_preguntas!$A$2:$A$200,0)),"ID no existe"))</f>
        <v/>
      </c>
    </row>
    <row r="307">
      <c r="A307" s="10" t="inlineStr">
        <is>
          <t>MH-026</t>
        </is>
      </c>
      <c r="B307" s="10" t="inlineStr">
        <is>
          <t>P02</t>
        </is>
      </c>
      <c r="C307" s="10" t="inlineStr"/>
      <c r="D307" s="10" t="inlineStr">
        <is>
          <t>Maki Sam Primavera</t>
        </is>
      </c>
      <c r="E307" s="10" t="inlineStr">
        <is>
          <t>EXPLICITO</t>
        </is>
      </c>
      <c r="F307" s="10" t="inlineStr">
        <is>
          <t>Título</t>
        </is>
      </c>
      <c r="G307" s="12">
        <f>IF(B307="","",IFERROR(INDEX(ref_preguntas!$C$2:$C$200,MATCH(B307,ref_preguntas!$A$2:$A$200,0)),"ID no existe"))</f>
        <v/>
      </c>
    </row>
    <row r="308">
      <c r="A308" s="10" t="inlineStr">
        <is>
          <t>MH-026</t>
        </is>
      </c>
      <c r="B308" s="10" t="inlineStr">
        <is>
          <t>P06</t>
        </is>
      </c>
      <c r="C308" s="10" t="inlineStr"/>
      <c r="D308" s="10" t="inlineStr">
        <is>
          <t>2024-10-15</t>
        </is>
      </c>
      <c r="E308" s="10" t="inlineStr">
        <is>
          <t>EXPLICITO</t>
        </is>
      </c>
      <c r="F308" s="10" t="inlineStr">
        <is>
          <t>Fecha y hora</t>
        </is>
      </c>
      <c r="G308" s="12">
        <f>IF(B308="","",IFERROR(INDEX(ref_preguntas!$C$2:$C$200,MATCH(B308,ref_preguntas!$A$2:$A$200,0)),"ID no existe"))</f>
        <v/>
      </c>
    </row>
    <row r="309">
      <c r="A309" s="10" t="inlineStr">
        <is>
          <t>MH-026</t>
        </is>
      </c>
      <c r="B309" s="10" t="inlineStr">
        <is>
          <t>P09</t>
        </is>
      </c>
      <c r="C309" s="10" t="inlineStr"/>
      <c r="D309" s="10" t="inlineStr">
        <is>
          <t>REST_ORIENTAL</t>
        </is>
      </c>
      <c r="E309" s="10" t="inlineStr">
        <is>
          <t>EXPLICITO</t>
        </is>
      </c>
      <c r="F309" s="10" t="inlineStr">
        <is>
          <t>Rubro confirmado por el equipo (2026-10-10)</t>
        </is>
      </c>
      <c r="G309" s="12">
        <f>IF(B309="","",IFERROR(INDEX(ref_preguntas!$C$2:$C$200,MATCH(B309,ref_preguntas!$A$2:$A$200,0)),"ID no existe"))</f>
        <v/>
      </c>
    </row>
    <row r="310">
      <c r="A310" s="10" t="inlineStr">
        <is>
          <t>MH-026</t>
        </is>
      </c>
      <c r="B310" s="10" t="inlineStr">
        <is>
          <t>P03</t>
        </is>
      </c>
      <c r="C310" s="10" t="inlineStr"/>
      <c r="D310" s="10" t="inlineStr">
        <is>
          <t>Maki Sam sede centro</t>
        </is>
      </c>
      <c r="E310" s="10" t="inlineStr">
        <is>
          <t>EXPLICITO</t>
        </is>
      </c>
      <c r="F310" s="10" t="inlineStr">
        <is>
          <t>Dirección</t>
        </is>
      </c>
      <c r="G310" s="12">
        <f>IF(B310="","",IFERROR(INDEX(ref_preguntas!$C$2:$C$200,MATCH(B310,ref_preguntas!$A$2:$A$200,0)),"ID no existe"))</f>
        <v/>
      </c>
    </row>
    <row r="311">
      <c r="A311" s="10" t="inlineStr">
        <is>
          <t>MH-026</t>
        </is>
      </c>
      <c r="B311" s="10" t="inlineStr">
        <is>
          <t>P04</t>
        </is>
      </c>
      <c r="C311" s="10" t="inlineStr"/>
      <c r="D311" s="10" t="inlineStr">
        <is>
          <t>Kelly Sayan</t>
        </is>
      </c>
      <c r="E311" s="10" t="inlineStr">
        <is>
          <t>EXPLICITO</t>
        </is>
      </c>
      <c r="F311" s="10" t="inlineStr">
        <is>
          <t>Team cliente</t>
        </is>
      </c>
      <c r="G311" s="12">
        <f>IF(B311="","",IFERROR(INDEX(ref_preguntas!$C$2:$C$200,MATCH(B311,ref_preguntas!$A$2:$A$200,0)),"ID no existe"))</f>
        <v/>
      </c>
    </row>
    <row r="312">
      <c r="A312" s="10" t="inlineStr">
        <is>
          <t>MH-026</t>
        </is>
      </c>
      <c r="B312" s="10" t="inlineStr">
        <is>
          <t>P12</t>
        </is>
      </c>
      <c r="C312" s="10" t="inlineStr"/>
      <c r="D312" s="10" t="inlineStr">
        <is>
          <t>1</t>
        </is>
      </c>
      <c r="E312" s="10" t="inlineStr">
        <is>
          <t>INFERIDO</t>
        </is>
      </c>
      <c r="F312" s="10" t="inlineStr">
        <is>
          <t>Cajas mencionadas</t>
        </is>
      </c>
      <c r="G312" s="12">
        <f>IF(B312="","",IFERROR(INDEX(ref_preguntas!$C$2:$C$200,MATCH(B312,ref_preguntas!$A$2:$A$200,0)),"ID no existe"))</f>
        <v/>
      </c>
    </row>
    <row r="313">
      <c r="A313" s="10" t="inlineStr">
        <is>
          <t>MH-026</t>
        </is>
      </c>
      <c r="B313" s="10" t="inlineStr">
        <is>
          <t>P51</t>
        </is>
      </c>
      <c r="C313" s="10" t="inlineStr"/>
      <c r="D313" s="10" t="inlineStr">
        <is>
          <t>ID: Kimberly Huamani · Cliente: Kelly Sayan</t>
        </is>
      </c>
      <c r="E313" s="10" t="inlineStr">
        <is>
          <t>EXPLICITO</t>
        </is>
      </c>
      <c r="F313" s="10" t="inlineStr">
        <is>
          <t>Asistentes</t>
        </is>
      </c>
      <c r="G313" s="12">
        <f>IF(B313="","",IFERROR(INDEX(ref_preguntas!$C$2:$C$200,MATCH(B313,ref_preguntas!$A$2:$A$200,0)),"ID no existe"))</f>
        <v/>
      </c>
    </row>
    <row r="314">
      <c r="A314" s="10" t="inlineStr">
        <is>
          <t>MH-027</t>
        </is>
      </c>
      <c r="B314" s="10" t="inlineStr">
        <is>
          <t>P01</t>
        </is>
      </c>
      <c r="C314" s="10" t="inlineStr"/>
      <c r="D314" s="10" t="inlineStr">
        <is>
          <t>Gourmety</t>
        </is>
      </c>
      <c r="E314" s="10" t="inlineStr">
        <is>
          <t>EXPLICITO</t>
        </is>
      </c>
      <c r="F314" s="10" t="inlineStr">
        <is>
          <t>Título</t>
        </is>
      </c>
      <c r="G314" s="12">
        <f>IF(B314="","",IFERROR(INDEX(ref_preguntas!$C$2:$C$200,MATCH(B314,ref_preguntas!$A$2:$A$200,0)),"ID no existe"))</f>
        <v/>
      </c>
    </row>
    <row r="315">
      <c r="A315" s="10" t="inlineStr">
        <is>
          <t>MH-027</t>
        </is>
      </c>
      <c r="B315" s="10" t="inlineStr">
        <is>
          <t>P02</t>
        </is>
      </c>
      <c r="C315" s="10" t="inlineStr"/>
      <c r="D315" s="10" t="inlineStr">
        <is>
          <t>Gourmety</t>
        </is>
      </c>
      <c r="E315" s="10" t="inlineStr">
        <is>
          <t>EXPLICITO</t>
        </is>
      </c>
      <c r="F315" s="10" t="inlineStr">
        <is>
          <t>Título</t>
        </is>
      </c>
      <c r="G315" s="12">
        <f>IF(B315="","",IFERROR(INDEX(ref_preguntas!$C$2:$C$200,MATCH(B315,ref_preguntas!$A$2:$A$200,0)),"ID no existe"))</f>
        <v/>
      </c>
    </row>
    <row r="316">
      <c r="A316" s="10" t="inlineStr">
        <is>
          <t>MH-027</t>
        </is>
      </c>
      <c r="B316" s="10" t="inlineStr">
        <is>
          <t>P06</t>
        </is>
      </c>
      <c r="C316" s="10" t="inlineStr"/>
      <c r="D316" s="10" t="inlineStr">
        <is>
          <t>2025-03-11</t>
        </is>
      </c>
      <c r="E316" s="10" t="inlineStr">
        <is>
          <t>EXPLICITO</t>
        </is>
      </c>
      <c r="F316" s="10" t="inlineStr">
        <is>
          <t>Fecha y hora</t>
        </is>
      </c>
      <c r="G316" s="12">
        <f>IF(B316="","",IFERROR(INDEX(ref_preguntas!$C$2:$C$200,MATCH(B316,ref_preguntas!$A$2:$A$200,0)),"ID no existe"))</f>
        <v/>
      </c>
    </row>
    <row r="317">
      <c r="A317" s="10" t="inlineStr">
        <is>
          <t>MH-027</t>
        </is>
      </c>
      <c r="B317" s="10" t="inlineStr">
        <is>
          <t>P09</t>
        </is>
      </c>
      <c r="C317" s="10" t="inlineStr"/>
      <c r="D317" s="10" t="inlineStr">
        <is>
          <t>CAFETERIA</t>
        </is>
      </c>
      <c r="E317" s="10" t="inlineStr">
        <is>
          <t>EXPLICITO</t>
        </is>
      </c>
      <c r="F317" s="10" t="inlineStr">
        <is>
          <t>Rubro confirmado por el equipo (2026-10-10)</t>
        </is>
      </c>
      <c r="G317" s="12">
        <f>IF(B317="","",IFERROR(INDEX(ref_preguntas!$C$2:$C$200,MATCH(B317,ref_preguntas!$A$2:$A$200,0)),"ID no existe"))</f>
        <v/>
      </c>
    </row>
    <row r="318">
      <c r="A318" s="10" t="inlineStr">
        <is>
          <t>MH-027</t>
        </is>
      </c>
      <c r="B318" s="10" t="inlineStr">
        <is>
          <t>P03</t>
        </is>
      </c>
      <c r="C318" s="10" t="inlineStr"/>
      <c r="D318" s="10" t="inlineStr">
        <is>
          <t>Av. Rivera Navarrete 575, San Isidro</t>
        </is>
      </c>
      <c r="E318" s="10" t="inlineStr">
        <is>
          <t>EXPLICITO</t>
        </is>
      </c>
      <c r="F318" s="10" t="inlineStr">
        <is>
          <t>Dirección</t>
        </is>
      </c>
      <c r="G318" s="12">
        <f>IF(B318="","",IFERROR(INDEX(ref_preguntas!$C$2:$C$200,MATCH(B318,ref_preguntas!$A$2:$A$200,0)),"ID no existe"))</f>
        <v/>
      </c>
    </row>
    <row r="319">
      <c r="A319" s="10" t="inlineStr">
        <is>
          <t>MH-027</t>
        </is>
      </c>
      <c r="B319" s="10" t="inlineStr">
        <is>
          <t>P04</t>
        </is>
      </c>
      <c r="C319" s="10" t="inlineStr"/>
      <c r="D319" s="10" t="inlineStr">
        <is>
          <t>Joanna</t>
        </is>
      </c>
      <c r="E319" s="10" t="inlineStr">
        <is>
          <t>EXPLICITO</t>
        </is>
      </c>
      <c r="F319" s="10" t="inlineStr">
        <is>
          <t>Team cliente</t>
        </is>
      </c>
      <c r="G319" s="12">
        <f>IF(B319="","",IFERROR(INDEX(ref_preguntas!$C$2:$C$200,MATCH(B319,ref_preguntas!$A$2:$A$200,0)),"ID no existe"))</f>
        <v/>
      </c>
    </row>
    <row r="320">
      <c r="A320" s="10" t="inlineStr">
        <is>
          <t>MH-027</t>
        </is>
      </c>
      <c r="B320" s="10" t="inlineStr">
        <is>
          <t>P10</t>
        </is>
      </c>
      <c r="C320" s="10" t="inlineStr"/>
      <c r="D320" s="10" t="inlineStr">
        <is>
          <t>2</t>
        </is>
      </c>
      <c r="E320" s="10" t="inlineStr">
        <is>
          <t>EXPLICITO</t>
        </is>
      </c>
      <c r="F320" s="10" t="inlineStr">
        <is>
          <t>Zonas por piso</t>
        </is>
      </c>
      <c r="G320" s="12">
        <f>IF(B320="","",IFERROR(INDEX(ref_preguntas!$C$2:$C$200,MATCH(B320,ref_preguntas!$A$2:$A$200,0)),"ID no existe"))</f>
        <v/>
      </c>
    </row>
    <row r="321">
      <c r="A321" s="10" t="inlineStr">
        <is>
          <t>MH-027</t>
        </is>
      </c>
      <c r="B321" s="10" t="inlineStr">
        <is>
          <t>P12</t>
        </is>
      </c>
      <c r="C321" s="10" t="inlineStr"/>
      <c r="D321" s="10" t="inlineStr">
        <is>
          <t>1</t>
        </is>
      </c>
      <c r="E321" s="10" t="inlineStr">
        <is>
          <t>INFERIDO</t>
        </is>
      </c>
      <c r="F321" s="10" t="inlineStr">
        <is>
          <t>Cajas mencionadas</t>
        </is>
      </c>
      <c r="G321" s="12">
        <f>IF(B321="","",IFERROR(INDEX(ref_preguntas!$C$2:$C$200,MATCH(B321,ref_preguntas!$A$2:$A$200,0)),"ID no existe"))</f>
        <v/>
      </c>
    </row>
    <row r="322">
      <c r="A322" s="10" t="inlineStr">
        <is>
          <t>MH-027</t>
        </is>
      </c>
      <c r="B322" s="10" t="inlineStr">
        <is>
          <t>P51</t>
        </is>
      </c>
      <c r="C322" s="10" t="inlineStr"/>
      <c r="D322" s="10" t="inlineStr">
        <is>
          <t>ID: Fabián Guadiamos, Sera Ghafari · Cliente: Joanna</t>
        </is>
      </c>
      <c r="E322" s="10" t="inlineStr">
        <is>
          <t>EXPLICITO</t>
        </is>
      </c>
      <c r="F322" s="10" t="inlineStr">
        <is>
          <t>Asistentes</t>
        </is>
      </c>
      <c r="G322" s="12">
        <f>IF(B322="","",IFERROR(INDEX(ref_preguntas!$C$2:$C$200,MATCH(B322,ref_preguntas!$A$2:$A$200,0)),"ID no existe"))</f>
        <v/>
      </c>
    </row>
    <row r="323">
      <c r="A323" s="10" t="inlineStr">
        <is>
          <t>MH-028</t>
        </is>
      </c>
      <c r="B323" s="10" t="inlineStr">
        <is>
          <t>P01</t>
        </is>
      </c>
      <c r="C323" s="10" t="inlineStr"/>
      <c r="D323" s="10" t="inlineStr">
        <is>
          <t>Bros</t>
        </is>
      </c>
      <c r="E323" s="10" t="inlineStr">
        <is>
          <t>EXPLICITO</t>
        </is>
      </c>
      <c r="F323" s="10" t="inlineStr">
        <is>
          <t>Título</t>
        </is>
      </c>
      <c r="G323" s="12">
        <f>IF(B323="","",IFERROR(INDEX(ref_preguntas!$C$2:$C$200,MATCH(B323,ref_preguntas!$A$2:$A$200,0)),"ID no existe"))</f>
        <v/>
      </c>
    </row>
    <row r="324">
      <c r="A324" s="10" t="inlineStr">
        <is>
          <t>MH-028</t>
        </is>
      </c>
      <c r="B324" s="10" t="inlineStr">
        <is>
          <t>P02</t>
        </is>
      </c>
      <c r="C324" s="10" t="inlineStr"/>
      <c r="D324" s="10" t="inlineStr">
        <is>
          <t>Bros – Refugio Gastronómico</t>
        </is>
      </c>
      <c r="E324" s="10" t="inlineStr">
        <is>
          <t>EXPLICITO</t>
        </is>
      </c>
      <c r="F324" s="10" t="inlineStr">
        <is>
          <t>Título</t>
        </is>
      </c>
      <c r="G324" s="12">
        <f>IF(B324="","",IFERROR(INDEX(ref_preguntas!$C$2:$C$200,MATCH(B324,ref_preguntas!$A$2:$A$200,0)),"ID no existe"))</f>
        <v/>
      </c>
    </row>
    <row r="325">
      <c r="A325" s="10" t="inlineStr">
        <is>
          <t>MH-028</t>
        </is>
      </c>
      <c r="B325" s="10" t="inlineStr">
        <is>
          <t>P06</t>
        </is>
      </c>
      <c r="C325" s="10" t="inlineStr"/>
      <c r="D325" s="10" t="inlineStr">
        <is>
          <t>2024-03-21</t>
        </is>
      </c>
      <c r="E325" s="10" t="inlineStr">
        <is>
          <t>EXPLICITO</t>
        </is>
      </c>
      <c r="F325" s="10" t="inlineStr">
        <is>
          <t>Fecha y hora</t>
        </is>
      </c>
      <c r="G325" s="12">
        <f>IF(B325="","",IFERROR(INDEX(ref_preguntas!$C$2:$C$200,MATCH(B325,ref_preguntas!$A$2:$A$200,0)),"ID no existe"))</f>
        <v/>
      </c>
    </row>
    <row r="326">
      <c r="A326" s="10" t="inlineStr">
        <is>
          <t>MH-028</t>
        </is>
      </c>
      <c r="B326" s="10" t="inlineStr">
        <is>
          <t>P09</t>
        </is>
      </c>
      <c r="C326" s="10" t="inlineStr"/>
      <c r="D326" s="10" t="inlineStr">
        <is>
          <t>FAST_FOOD</t>
        </is>
      </c>
      <c r="E326" s="10" t="inlineStr">
        <is>
          <t>EXPLICITO</t>
        </is>
      </c>
      <c r="F326" s="10" t="inlineStr">
        <is>
          <t>Rubro confirmado por el equipo (2026-10-10)</t>
        </is>
      </c>
      <c r="G326" s="12">
        <f>IF(B326="","",IFERROR(INDEX(ref_preguntas!$C$2:$C$200,MATCH(B326,ref_preguntas!$A$2:$A$200,0)),"ID no existe"))</f>
        <v/>
      </c>
    </row>
    <row r="327">
      <c r="A327" s="10" t="inlineStr">
        <is>
          <t>MH-028</t>
        </is>
      </c>
      <c r="B327" s="10" t="inlineStr">
        <is>
          <t>P03</t>
        </is>
      </c>
      <c r="C327" s="10" t="inlineStr"/>
      <c r="D327" s="10" t="inlineStr">
        <is>
          <t>Refugio Gastronómico</t>
        </is>
      </c>
      <c r="E327" s="10" t="inlineStr">
        <is>
          <t>EXPLICITO</t>
        </is>
      </c>
      <c r="F327" s="10" t="inlineStr">
        <is>
          <t>Dirección</t>
        </is>
      </c>
      <c r="G327" s="12">
        <f>IF(B327="","",IFERROR(INDEX(ref_preguntas!$C$2:$C$200,MATCH(B327,ref_preguntas!$A$2:$A$200,0)),"ID no existe"))</f>
        <v/>
      </c>
    </row>
    <row r="328">
      <c r="A328" s="10" t="inlineStr">
        <is>
          <t>MH-028</t>
        </is>
      </c>
      <c r="B328" s="10" t="inlineStr">
        <is>
          <t>P04</t>
        </is>
      </c>
      <c r="C328" s="10" t="inlineStr"/>
      <c r="D328" s="10" t="inlineStr">
        <is>
          <t>Vanessa, Elio</t>
        </is>
      </c>
      <c r="E328" s="10" t="inlineStr">
        <is>
          <t>EXPLICITO</t>
        </is>
      </c>
      <c r="F328" s="10" t="inlineStr">
        <is>
          <t>Team cliente</t>
        </is>
      </c>
      <c r="G328" s="12">
        <f>IF(B328="","",IFERROR(INDEX(ref_preguntas!$C$2:$C$200,MATCH(B328,ref_preguntas!$A$2:$A$200,0)),"ID no existe"))</f>
        <v/>
      </c>
    </row>
    <row r="329">
      <c r="A329" s="10" t="inlineStr">
        <is>
          <t>MH-028</t>
        </is>
      </c>
      <c r="B329" s="10" t="inlineStr">
        <is>
          <t>P12</t>
        </is>
      </c>
      <c r="C329" s="10" t="inlineStr"/>
      <c r="D329" s="10" t="inlineStr">
        <is>
          <t>1</t>
        </is>
      </c>
      <c r="E329" s="10" t="inlineStr">
        <is>
          <t>INFERIDO</t>
        </is>
      </c>
      <c r="F329" s="10" t="inlineStr">
        <is>
          <t>Cajas mencionadas</t>
        </is>
      </c>
      <c r="G329" s="12">
        <f>IF(B329="","",IFERROR(INDEX(ref_preguntas!$C$2:$C$200,MATCH(B329,ref_preguntas!$A$2:$A$200,0)),"ID no existe"))</f>
        <v/>
      </c>
    </row>
    <row r="330">
      <c r="A330" s="10" t="inlineStr">
        <is>
          <t>MH-028</t>
        </is>
      </c>
      <c r="B330" s="10" t="inlineStr">
        <is>
          <t>P51</t>
        </is>
      </c>
      <c r="C330" s="10" t="inlineStr"/>
      <c r="D330" s="10" t="inlineStr">
        <is>
          <t>ID: Nelson Luque · Cliente: Vanessa, Elio</t>
        </is>
      </c>
      <c r="E330" s="10" t="inlineStr">
        <is>
          <t>EXPLICITO</t>
        </is>
      </c>
      <c r="F330" s="10" t="inlineStr">
        <is>
          <t>Asistentes</t>
        </is>
      </c>
      <c r="G330" s="12">
        <f>IF(B330="","",IFERROR(INDEX(ref_preguntas!$C$2:$C$200,MATCH(B330,ref_preguntas!$A$2:$A$200,0)),"ID no existe"))</f>
        <v/>
      </c>
    </row>
    <row r="331">
      <c r="A331" s="10" t="inlineStr">
        <is>
          <t>MH-029</t>
        </is>
      </c>
      <c r="B331" s="10" t="inlineStr">
        <is>
          <t>P01</t>
        </is>
      </c>
      <c r="C331" s="10" t="inlineStr"/>
      <c r="D331" s="10" t="inlineStr">
        <is>
          <t>El Chito</t>
        </is>
      </c>
      <c r="E331" s="10" t="inlineStr">
        <is>
          <t>EXPLICITO</t>
        </is>
      </c>
      <c r="F331" s="10" t="inlineStr">
        <is>
          <t>Título</t>
        </is>
      </c>
      <c r="G331" s="12">
        <f>IF(B331="","",IFERROR(INDEX(ref_preguntas!$C$2:$C$200,MATCH(B331,ref_preguntas!$A$2:$A$200,0)),"ID no existe"))</f>
        <v/>
      </c>
    </row>
    <row r="332">
      <c r="A332" s="10" t="inlineStr">
        <is>
          <t>MH-029</t>
        </is>
      </c>
      <c r="B332" s="10" t="inlineStr">
        <is>
          <t>P02</t>
        </is>
      </c>
      <c r="C332" s="10" t="inlineStr"/>
      <c r="D332" s="10" t="inlineStr">
        <is>
          <t>El Chito</t>
        </is>
      </c>
      <c r="E332" s="10" t="inlineStr">
        <is>
          <t>EXPLICITO</t>
        </is>
      </c>
      <c r="F332" s="10" t="inlineStr">
        <is>
          <t>Título</t>
        </is>
      </c>
      <c r="G332" s="12">
        <f>IF(B332="","",IFERROR(INDEX(ref_preguntas!$C$2:$C$200,MATCH(B332,ref_preguntas!$A$2:$A$200,0)),"ID no existe"))</f>
        <v/>
      </c>
    </row>
    <row r="333">
      <c r="A333" s="10" t="inlineStr">
        <is>
          <t>MH-029</t>
        </is>
      </c>
      <c r="B333" s="10" t="inlineStr">
        <is>
          <t>P06</t>
        </is>
      </c>
      <c r="C333" s="10" t="inlineStr"/>
      <c r="D333" s="10" t="inlineStr">
        <is>
          <t>2023-10-11</t>
        </is>
      </c>
      <c r="E333" s="10" t="inlineStr">
        <is>
          <t>EXPLICITO</t>
        </is>
      </c>
      <c r="F333" s="10" t="inlineStr">
        <is>
          <t>Fecha y hora</t>
        </is>
      </c>
      <c r="G333" s="12">
        <f>IF(B333="","",IFERROR(INDEX(ref_preguntas!$C$2:$C$200,MATCH(B333,ref_preguntas!$A$2:$A$200,0)),"ID no existe"))</f>
        <v/>
      </c>
    </row>
    <row r="334">
      <c r="A334" s="10" t="inlineStr">
        <is>
          <t>MH-029</t>
        </is>
      </c>
      <c r="B334" s="10" t="inlineStr">
        <is>
          <t>P09</t>
        </is>
      </c>
      <c r="C334" s="10" t="inlineStr"/>
      <c r="D334" s="10" t="inlineStr">
        <is>
          <t>REST_PESCADOS</t>
        </is>
      </c>
      <c r="E334" s="10" t="inlineStr">
        <is>
          <t>EXPLICITO</t>
        </is>
      </c>
      <c r="F334" s="10" t="inlineStr">
        <is>
          <t>Rubro confirmado por el equipo (2026-10-10)</t>
        </is>
      </c>
      <c r="G334" s="12">
        <f>IF(B334="","",IFERROR(INDEX(ref_preguntas!$C$2:$C$200,MATCH(B334,ref_preguntas!$A$2:$A$200,0)),"ID no existe"))</f>
        <v/>
      </c>
    </row>
    <row r="335">
      <c r="A335" s="10" t="inlineStr">
        <is>
          <t>MH-029</t>
        </is>
      </c>
      <c r="B335" s="10" t="inlineStr">
        <is>
          <t>P04</t>
        </is>
      </c>
      <c r="C335" s="10" t="inlineStr"/>
      <c r="D335" s="10" t="inlineStr">
        <is>
          <t>Leonardo, Rosbeyli</t>
        </is>
      </c>
      <c r="E335" s="10" t="inlineStr">
        <is>
          <t>EXPLICITO</t>
        </is>
      </c>
      <c r="F335" s="10" t="inlineStr">
        <is>
          <t>Team cliente</t>
        </is>
      </c>
      <c r="G335" s="12">
        <f>IF(B335="","",IFERROR(INDEX(ref_preguntas!$C$2:$C$200,MATCH(B335,ref_preguntas!$A$2:$A$200,0)),"ID no existe"))</f>
        <v/>
      </c>
    </row>
    <row r="336">
      <c r="A336" s="10" t="inlineStr">
        <is>
          <t>MH-029</t>
        </is>
      </c>
      <c r="B336" s="10" t="inlineStr">
        <is>
          <t>P12</t>
        </is>
      </c>
      <c r="C336" s="10" t="inlineStr"/>
      <c r="D336" s="10" t="inlineStr">
        <is>
          <t>1</t>
        </is>
      </c>
      <c r="E336" s="10" t="inlineStr">
        <is>
          <t>INFERIDO</t>
        </is>
      </c>
      <c r="F336" s="10" t="inlineStr">
        <is>
          <t>Cajas mencionadas</t>
        </is>
      </c>
      <c r="G336" s="12">
        <f>IF(B336="","",IFERROR(INDEX(ref_preguntas!$C$2:$C$200,MATCH(B336,ref_preguntas!$A$2:$A$200,0)),"ID no existe"))</f>
        <v/>
      </c>
    </row>
    <row r="337">
      <c r="A337" s="10" t="inlineStr">
        <is>
          <t>MH-029</t>
        </is>
      </c>
      <c r="B337" s="10" t="inlineStr">
        <is>
          <t>P13</t>
        </is>
      </c>
      <c r="C337" s="10" t="inlineStr"/>
      <c r="D337" s="10" t="inlineStr">
        <is>
          <t>MOVISTAR</t>
        </is>
      </c>
      <c r="E337" s="10" t="inlineStr">
        <is>
          <t>EXPLICITO</t>
        </is>
      </c>
      <c r="F337" s="10" t="inlineStr">
        <is>
          <t>Velocidad / red</t>
        </is>
      </c>
      <c r="G337" s="12">
        <f>IF(B337="","",IFERROR(INDEX(ref_preguntas!$C$2:$C$200,MATCH(B337,ref_preguntas!$A$2:$A$200,0)),"ID no existe"))</f>
        <v/>
      </c>
    </row>
    <row r="338">
      <c r="A338" s="10" t="inlineStr">
        <is>
          <t>MH-029</t>
        </is>
      </c>
      <c r="B338" s="10" t="inlineStr">
        <is>
          <t>P14</t>
        </is>
      </c>
      <c r="C338" s="10" t="inlineStr"/>
      <c r="D338" s="10" t="inlineStr">
        <is>
          <t>FIBRA</t>
        </is>
      </c>
      <c r="E338" s="10" t="inlineStr">
        <is>
          <t>EXPLICITO</t>
        </is>
      </c>
      <c r="F338" s="10" t="inlineStr">
        <is>
          <t>Velocidad / red</t>
        </is>
      </c>
      <c r="G338" s="12">
        <f>IF(B338="","",IFERROR(INDEX(ref_preguntas!$C$2:$C$200,MATCH(B338,ref_preguntas!$A$2:$A$200,0)),"ID no existe"))</f>
        <v/>
      </c>
    </row>
    <row r="339">
      <c r="A339" s="10" t="inlineStr">
        <is>
          <t>MH-029</t>
        </is>
      </c>
      <c r="B339" s="10" t="inlineStr">
        <is>
          <t>P15</t>
        </is>
      </c>
      <c r="C339" s="10" t="inlineStr"/>
      <c r="D339" s="10" t="inlineStr">
        <is>
          <t>1000</t>
        </is>
      </c>
      <c r="E339" s="10" t="inlineStr">
        <is>
          <t>EXPLICITO</t>
        </is>
      </c>
      <c r="F339" s="10" t="inlineStr">
        <is>
          <t>Velocidad de internet</t>
        </is>
      </c>
      <c r="G339" s="12">
        <f>IF(B339="","",IFERROR(INDEX(ref_preguntas!$C$2:$C$200,MATCH(B339,ref_preguntas!$A$2:$A$200,0)),"ID no existe"))</f>
        <v/>
      </c>
    </row>
    <row r="340">
      <c r="A340" s="10" t="inlineStr">
        <is>
          <t>MH-029</t>
        </is>
      </c>
      <c r="B340" s="10" t="inlineStr">
        <is>
          <t>P51</t>
        </is>
      </c>
      <c r="C340" s="10" t="inlineStr"/>
      <c r="D340" s="10" t="inlineStr">
        <is>
          <t>ID: Kevin Flores · Cliente: Leonardo, Rosbeyli</t>
        </is>
      </c>
      <c r="E340" s="10" t="inlineStr">
        <is>
          <t>EXPLICITO</t>
        </is>
      </c>
      <c r="F340" s="10" t="inlineStr">
        <is>
          <t>Asistentes</t>
        </is>
      </c>
      <c r="G340" s="12">
        <f>IF(B340="","",IFERROR(INDEX(ref_preguntas!$C$2:$C$200,MATCH(B340,ref_preguntas!$A$2:$A$200,0)),"ID no existe"))</f>
        <v/>
      </c>
    </row>
    <row r="341">
      <c r="A341" s="10" t="inlineStr">
        <is>
          <t>MH-030</t>
        </is>
      </c>
      <c r="B341" s="10" t="inlineStr">
        <is>
          <t>P01</t>
        </is>
      </c>
      <c r="C341" s="10" t="inlineStr"/>
      <c r="D341" s="10" t="inlineStr">
        <is>
          <t>Shimaya Ramen</t>
        </is>
      </c>
      <c r="E341" s="10" t="inlineStr">
        <is>
          <t>EXPLICITO</t>
        </is>
      </c>
      <c r="F341" s="10" t="inlineStr">
        <is>
          <t>Título</t>
        </is>
      </c>
      <c r="G341" s="12">
        <f>IF(B341="","",IFERROR(INDEX(ref_preguntas!$C$2:$C$200,MATCH(B341,ref_preguntas!$A$2:$A$200,0)),"ID no existe"))</f>
        <v/>
      </c>
    </row>
    <row r="342">
      <c r="A342" s="10" t="inlineStr">
        <is>
          <t>MH-030</t>
        </is>
      </c>
      <c r="B342" s="10" t="inlineStr">
        <is>
          <t>P02</t>
        </is>
      </c>
      <c r="C342" s="10" t="inlineStr"/>
      <c r="D342" s="10" t="inlineStr">
        <is>
          <t>Shimaya Comas</t>
        </is>
      </c>
      <c r="E342" s="10" t="inlineStr">
        <is>
          <t>EXPLICITO</t>
        </is>
      </c>
      <c r="F342" s="10" t="inlineStr">
        <is>
          <t>Título</t>
        </is>
      </c>
      <c r="G342" s="12">
        <f>IF(B342="","",IFERROR(INDEX(ref_preguntas!$C$2:$C$200,MATCH(B342,ref_preguntas!$A$2:$A$200,0)),"ID no existe"))</f>
        <v/>
      </c>
    </row>
    <row r="343">
      <c r="A343" s="10" t="inlineStr">
        <is>
          <t>MH-030</t>
        </is>
      </c>
      <c r="B343" s="10" t="inlineStr">
        <is>
          <t>P06</t>
        </is>
      </c>
      <c r="C343" s="10" t="inlineStr"/>
      <c r="D343" s="10" t="inlineStr">
        <is>
          <t>2024-03-09</t>
        </is>
      </c>
      <c r="E343" s="10" t="inlineStr">
        <is>
          <t>EXPLICITO</t>
        </is>
      </c>
      <c r="F343" s="10" t="inlineStr">
        <is>
          <t>Fecha y hora</t>
        </is>
      </c>
      <c r="G343" s="12">
        <f>IF(B343="","",IFERROR(INDEX(ref_preguntas!$C$2:$C$200,MATCH(B343,ref_preguntas!$A$2:$A$200,0)),"ID no existe"))</f>
        <v/>
      </c>
    </row>
    <row r="344">
      <c r="A344" s="10" t="inlineStr">
        <is>
          <t>MH-030</t>
        </is>
      </c>
      <c r="B344" s="10" t="inlineStr">
        <is>
          <t>P09</t>
        </is>
      </c>
      <c r="C344" s="10" t="inlineStr"/>
      <c r="D344" s="10" t="inlineStr">
        <is>
          <t>REST_ORIENTAL</t>
        </is>
      </c>
      <c r="E344" s="10" t="inlineStr">
        <is>
          <t>EXPLICITO</t>
        </is>
      </c>
      <c r="F344" s="10" t="inlineStr">
        <is>
          <t>Rubro confirmado por el equipo (2026-10-10)</t>
        </is>
      </c>
      <c r="G344" s="12">
        <f>IF(B344="","",IFERROR(INDEX(ref_preguntas!$C$2:$C$200,MATCH(B344,ref_preguntas!$A$2:$A$200,0)),"ID no existe"))</f>
        <v/>
      </c>
    </row>
    <row r="345">
      <c r="A345" s="10" t="inlineStr">
        <is>
          <t>MH-030</t>
        </is>
      </c>
      <c r="B345" s="10" t="inlineStr">
        <is>
          <t>P03</t>
        </is>
      </c>
      <c r="C345" s="10" t="inlineStr"/>
      <c r="D345" s="10" t="inlineStr">
        <is>
          <t>Av. Los Ángeles 602, local FC-3041, 3er nivel</t>
        </is>
      </c>
      <c r="E345" s="10" t="inlineStr">
        <is>
          <t>EXPLICITO</t>
        </is>
      </c>
      <c r="F345" s="10" t="inlineStr">
        <is>
          <t>Dirección</t>
        </is>
      </c>
      <c r="G345" s="12">
        <f>IF(B345="","",IFERROR(INDEX(ref_preguntas!$C$2:$C$200,MATCH(B345,ref_preguntas!$A$2:$A$200,0)),"ID no existe"))</f>
        <v/>
      </c>
    </row>
    <row r="346">
      <c r="A346" s="10" t="inlineStr">
        <is>
          <t>MH-030</t>
        </is>
      </c>
      <c r="B346" s="10" t="inlineStr">
        <is>
          <t>P04</t>
        </is>
      </c>
      <c r="C346" s="10" t="inlineStr"/>
      <c r="D346" s="10" t="inlineStr">
        <is>
          <t>Yanina</t>
        </is>
      </c>
      <c r="E346" s="10" t="inlineStr">
        <is>
          <t>EXPLICITO</t>
        </is>
      </c>
      <c r="F346" s="10" t="inlineStr">
        <is>
          <t>Team cliente</t>
        </is>
      </c>
      <c r="G346" s="12">
        <f>IF(B346="","",IFERROR(INDEX(ref_preguntas!$C$2:$C$200,MATCH(B346,ref_preguntas!$A$2:$A$200,0)),"ID no existe"))</f>
        <v/>
      </c>
    </row>
    <row r="347">
      <c r="A347" s="10" t="inlineStr">
        <is>
          <t>MH-030</t>
        </is>
      </c>
      <c r="B347" s="10" t="inlineStr">
        <is>
          <t>P12</t>
        </is>
      </c>
      <c r="C347" s="10" t="inlineStr"/>
      <c r="D347" s="10" t="inlineStr">
        <is>
          <t>1</t>
        </is>
      </c>
      <c r="E347" s="10" t="inlineStr">
        <is>
          <t>INFERIDO</t>
        </is>
      </c>
      <c r="F347" s="10" t="inlineStr">
        <is>
          <t>Cajas mencionadas</t>
        </is>
      </c>
      <c r="G347" s="12">
        <f>IF(B347="","",IFERROR(INDEX(ref_preguntas!$C$2:$C$200,MATCH(B347,ref_preguntas!$A$2:$A$200,0)),"ID no existe"))</f>
        <v/>
      </c>
    </row>
    <row r="348">
      <c r="A348" s="10" t="inlineStr">
        <is>
          <t>MH-030</t>
        </is>
      </c>
      <c r="B348" s="10" t="inlineStr">
        <is>
          <t>P13</t>
        </is>
      </c>
      <c r="C348" s="10" t="inlineStr"/>
      <c r="D348" s="10" t="inlineStr">
        <is>
          <t>WIN</t>
        </is>
      </c>
      <c r="E348" s="10" t="inlineStr">
        <is>
          <t>EXPLICITO</t>
        </is>
      </c>
      <c r="F348" s="10" t="inlineStr">
        <is>
          <t>Velocidad / red</t>
        </is>
      </c>
      <c r="G348" s="12">
        <f>IF(B348="","",IFERROR(INDEX(ref_preguntas!$C$2:$C$200,MATCH(B348,ref_preguntas!$A$2:$A$200,0)),"ID no existe"))</f>
        <v/>
      </c>
    </row>
    <row r="349">
      <c r="A349" s="10" t="inlineStr">
        <is>
          <t>MH-030</t>
        </is>
      </c>
      <c r="B349" s="10" t="inlineStr">
        <is>
          <t>P14</t>
        </is>
      </c>
      <c r="C349" s="10" t="inlineStr"/>
      <c r="D349" s="10" t="inlineStr">
        <is>
          <t>FIBRA</t>
        </is>
      </c>
      <c r="E349" s="10" t="inlineStr">
        <is>
          <t>EXPLICITO</t>
        </is>
      </c>
      <c r="F349" s="10" t="inlineStr">
        <is>
          <t>Velocidad / red</t>
        </is>
      </c>
      <c r="G349" s="12">
        <f>IF(B349="","",IFERROR(INDEX(ref_preguntas!$C$2:$C$200,MATCH(B349,ref_preguntas!$A$2:$A$200,0)),"ID no existe"))</f>
        <v/>
      </c>
    </row>
    <row r="350">
      <c r="A350" s="10" t="inlineStr">
        <is>
          <t>MH-030</t>
        </is>
      </c>
      <c r="B350" s="10" t="inlineStr">
        <is>
          <t>P51</t>
        </is>
      </c>
      <c r="C350" s="10" t="inlineStr"/>
      <c r="D350" s="10" t="inlineStr">
        <is>
          <t>ID: Kevin · Cliente: Yanina</t>
        </is>
      </c>
      <c r="E350" s="10" t="inlineStr">
        <is>
          <t>EXPLICITO</t>
        </is>
      </c>
      <c r="F350" s="10" t="inlineStr">
        <is>
          <t>Asistentes</t>
        </is>
      </c>
      <c r="G350" s="12">
        <f>IF(B350="","",IFERROR(INDEX(ref_preguntas!$C$2:$C$200,MATCH(B350,ref_preguntas!$A$2:$A$200,0)),"ID no existe"))</f>
        <v/>
      </c>
    </row>
    <row r="351">
      <c r="A351" s="10" t="inlineStr">
        <is>
          <t>MH-031</t>
        </is>
      </c>
      <c r="B351" s="10" t="inlineStr">
        <is>
          <t>P01</t>
        </is>
      </c>
      <c r="C351" s="10" t="inlineStr"/>
      <c r="D351" s="10" t="inlineStr">
        <is>
          <t>Shimaya Ramen</t>
        </is>
      </c>
      <c r="E351" s="10" t="inlineStr">
        <is>
          <t>EXPLICITO</t>
        </is>
      </c>
      <c r="F351" s="10" t="inlineStr">
        <is>
          <t>Título</t>
        </is>
      </c>
      <c r="G351" s="12">
        <f>IF(B351="","",IFERROR(INDEX(ref_preguntas!$C$2:$C$200,MATCH(B351,ref_preguntas!$A$2:$A$200,0)),"ID no existe"))</f>
        <v/>
      </c>
    </row>
    <row r="352">
      <c r="A352" s="10" t="inlineStr">
        <is>
          <t>MH-031</t>
        </is>
      </c>
      <c r="B352" s="10" t="inlineStr">
        <is>
          <t>P02</t>
        </is>
      </c>
      <c r="C352" s="10" t="inlineStr"/>
      <c r="D352" s="10" t="inlineStr">
        <is>
          <t>Shimaya La Molina</t>
        </is>
      </c>
      <c r="E352" s="10" t="inlineStr">
        <is>
          <t>EXPLICITO</t>
        </is>
      </c>
      <c r="F352" s="10" t="inlineStr">
        <is>
          <t>Título</t>
        </is>
      </c>
      <c r="G352" s="12">
        <f>IF(B352="","",IFERROR(INDEX(ref_preguntas!$C$2:$C$200,MATCH(B352,ref_preguntas!$A$2:$A$200,0)),"ID no existe"))</f>
        <v/>
      </c>
    </row>
    <row r="353">
      <c r="A353" s="10" t="inlineStr">
        <is>
          <t>MH-031</t>
        </is>
      </c>
      <c r="B353" s="10" t="inlineStr">
        <is>
          <t>P06</t>
        </is>
      </c>
      <c r="C353" s="10" t="inlineStr"/>
      <c r="D353" s="10" t="inlineStr">
        <is>
          <t>2024-03-15</t>
        </is>
      </c>
      <c r="E353" s="10" t="inlineStr">
        <is>
          <t>EXPLICITO</t>
        </is>
      </c>
      <c r="F353" s="10" t="inlineStr">
        <is>
          <t>Fecha y hora</t>
        </is>
      </c>
      <c r="G353" s="12">
        <f>IF(B353="","",IFERROR(INDEX(ref_preguntas!$C$2:$C$200,MATCH(B353,ref_preguntas!$A$2:$A$200,0)),"ID no existe"))</f>
        <v/>
      </c>
    </row>
    <row r="354">
      <c r="A354" s="10" t="inlineStr">
        <is>
          <t>MH-031</t>
        </is>
      </c>
      <c r="B354" s="10" t="inlineStr">
        <is>
          <t>P09</t>
        </is>
      </c>
      <c r="C354" s="10" t="inlineStr"/>
      <c r="D354" s="10" t="inlineStr">
        <is>
          <t>REST_ORIENTAL</t>
        </is>
      </c>
      <c r="E354" s="10" t="inlineStr">
        <is>
          <t>EXPLICITO</t>
        </is>
      </c>
      <c r="F354" s="10" t="inlineStr">
        <is>
          <t>Rubro confirmado por el equipo (2026-10-10)</t>
        </is>
      </c>
      <c r="G354" s="12">
        <f>IF(B354="","",IFERROR(INDEX(ref_preguntas!$C$2:$C$200,MATCH(B354,ref_preguntas!$A$2:$A$200,0)),"ID no existe"))</f>
        <v/>
      </c>
    </row>
    <row r="355">
      <c r="A355" s="10" t="inlineStr">
        <is>
          <t>MH-031</t>
        </is>
      </c>
      <c r="B355" s="10" t="inlineStr">
        <is>
          <t>P03</t>
        </is>
      </c>
      <c r="C355" s="10" t="inlineStr"/>
      <c r="D355" s="10" t="inlineStr">
        <is>
          <t>Av. Flora Tristán 471, La Molina 15024</t>
        </is>
      </c>
      <c r="E355" s="10" t="inlineStr">
        <is>
          <t>EXPLICITO</t>
        </is>
      </c>
      <c r="F355" s="10" t="inlineStr">
        <is>
          <t>Dirección</t>
        </is>
      </c>
      <c r="G355" s="12">
        <f>IF(B355="","",IFERROR(INDEX(ref_preguntas!$C$2:$C$200,MATCH(B355,ref_preguntas!$A$2:$A$200,0)),"ID no existe"))</f>
        <v/>
      </c>
    </row>
    <row r="356">
      <c r="A356" s="10" t="inlineStr">
        <is>
          <t>MH-031</t>
        </is>
      </c>
      <c r="B356" s="10" t="inlineStr">
        <is>
          <t>P12</t>
        </is>
      </c>
      <c r="C356" s="10" t="inlineStr"/>
      <c r="D356" s="10" t="inlineStr">
        <is>
          <t>1</t>
        </is>
      </c>
      <c r="E356" s="10" t="inlineStr">
        <is>
          <t>INFERIDO</t>
        </is>
      </c>
      <c r="F356" s="10" t="inlineStr">
        <is>
          <t>Cajas mencionadas</t>
        </is>
      </c>
      <c r="G356" s="12">
        <f>IF(B356="","",IFERROR(INDEX(ref_preguntas!$C$2:$C$200,MATCH(B356,ref_preguntas!$A$2:$A$200,0)),"ID no existe"))</f>
        <v/>
      </c>
    </row>
    <row r="357">
      <c r="A357" s="10" t="inlineStr">
        <is>
          <t>MH-031</t>
        </is>
      </c>
      <c r="B357" s="10" t="inlineStr">
        <is>
          <t>P13</t>
        </is>
      </c>
      <c r="C357" s="10" t="inlineStr"/>
      <c r="D357" s="10" t="inlineStr">
        <is>
          <t>CLARO</t>
        </is>
      </c>
      <c r="E357" s="10" t="inlineStr">
        <is>
          <t>EXPLICITO</t>
        </is>
      </c>
      <c r="F357" s="10" t="inlineStr">
        <is>
          <t>Velocidad / red</t>
        </is>
      </c>
      <c r="G357" s="12">
        <f>IF(B357="","",IFERROR(INDEX(ref_preguntas!$C$2:$C$200,MATCH(B357,ref_preguntas!$A$2:$A$200,0)),"ID no existe"))</f>
        <v/>
      </c>
    </row>
    <row r="358">
      <c r="A358" s="10" t="inlineStr">
        <is>
          <t>MH-031</t>
        </is>
      </c>
      <c r="B358" s="10" t="inlineStr">
        <is>
          <t>P14</t>
        </is>
      </c>
      <c r="C358" s="10" t="inlineStr"/>
      <c r="D358" s="10" t="inlineStr">
        <is>
          <t>COAXIAL</t>
        </is>
      </c>
      <c r="E358" s="10" t="inlineStr">
        <is>
          <t>EXPLICITO</t>
        </is>
      </c>
      <c r="F358" s="10" t="inlineStr">
        <is>
          <t>Velocidad / red</t>
        </is>
      </c>
      <c r="G358" s="12">
        <f>IF(B358="","",IFERROR(INDEX(ref_preguntas!$C$2:$C$200,MATCH(B358,ref_preguntas!$A$2:$A$200,0)),"ID no existe"))</f>
        <v/>
      </c>
    </row>
    <row r="359">
      <c r="A359" s="10" t="inlineStr">
        <is>
          <t>MH-031</t>
        </is>
      </c>
      <c r="B359" s="10" t="inlineStr">
        <is>
          <t>P15</t>
        </is>
      </c>
      <c r="C359" s="10" t="inlineStr"/>
      <c r="D359" s="10" t="inlineStr">
        <is>
          <t>100</t>
        </is>
      </c>
      <c r="E359" s="10" t="inlineStr">
        <is>
          <t>EXPLICITO</t>
        </is>
      </c>
      <c r="F359" s="10" t="inlineStr">
        <is>
          <t>Velocidad de internet</t>
        </is>
      </c>
      <c r="G359" s="12">
        <f>IF(B359="","",IFERROR(INDEX(ref_preguntas!$C$2:$C$200,MATCH(B359,ref_preguntas!$A$2:$A$200,0)),"ID no existe"))</f>
        <v/>
      </c>
    </row>
    <row r="360">
      <c r="A360" s="10" t="inlineStr">
        <is>
          <t>MH-031</t>
        </is>
      </c>
      <c r="B360" s="10" t="inlineStr">
        <is>
          <t>P51</t>
        </is>
      </c>
      <c r="C360" s="10" t="inlineStr"/>
      <c r="D360" s="10" t="inlineStr">
        <is>
          <t>ID: Kevin · Cliente: —</t>
        </is>
      </c>
      <c r="E360" s="10" t="inlineStr">
        <is>
          <t>EXPLICITO</t>
        </is>
      </c>
      <c r="F360" s="10" t="inlineStr">
        <is>
          <t>Asistentes</t>
        </is>
      </c>
      <c r="G360" s="12">
        <f>IF(B360="","",IFERROR(INDEX(ref_preguntas!$C$2:$C$200,MATCH(B360,ref_preguntas!$A$2:$A$200,0)),"ID no existe"))</f>
        <v/>
      </c>
    </row>
    <row r="361">
      <c r="A361" s="10" t="inlineStr">
        <is>
          <t>MH-032</t>
        </is>
      </c>
      <c r="B361" s="10" t="inlineStr">
        <is>
          <t>P01</t>
        </is>
      </c>
      <c r="C361" s="10" t="inlineStr"/>
      <c r="D361" s="10" t="inlineStr">
        <is>
          <t>Shimaya Ramen</t>
        </is>
      </c>
      <c r="E361" s="10" t="inlineStr">
        <is>
          <t>EXPLICITO</t>
        </is>
      </c>
      <c r="F361" s="10" t="inlineStr">
        <is>
          <t>Título</t>
        </is>
      </c>
      <c r="G361" s="12">
        <f>IF(B361="","",IFERROR(INDEX(ref_preguntas!$C$2:$C$200,MATCH(B361,ref_preguntas!$A$2:$A$200,0)),"ID no existe"))</f>
        <v/>
      </c>
    </row>
    <row r="362">
      <c r="A362" s="10" t="inlineStr">
        <is>
          <t>MH-032</t>
        </is>
      </c>
      <c r="B362" s="10" t="inlineStr">
        <is>
          <t>P02</t>
        </is>
      </c>
      <c r="C362" s="10" t="inlineStr"/>
      <c r="D362" s="10" t="inlineStr">
        <is>
          <t>Shimaya Kennedy (Miraflores)</t>
        </is>
      </c>
      <c r="E362" s="10" t="inlineStr">
        <is>
          <t>EXPLICITO</t>
        </is>
      </c>
      <c r="F362" s="10" t="inlineStr">
        <is>
          <t>Título</t>
        </is>
      </c>
      <c r="G362" s="12">
        <f>IF(B362="","",IFERROR(INDEX(ref_preguntas!$C$2:$C$200,MATCH(B362,ref_preguntas!$A$2:$A$200,0)),"ID no existe"))</f>
        <v/>
      </c>
    </row>
    <row r="363">
      <c r="A363" s="10" t="inlineStr">
        <is>
          <t>MH-032</t>
        </is>
      </c>
      <c r="B363" s="10" t="inlineStr">
        <is>
          <t>P06</t>
        </is>
      </c>
      <c r="C363" s="10" t="inlineStr"/>
      <c r="D363" s="10" t="inlineStr">
        <is>
          <t>2024-03-13</t>
        </is>
      </c>
      <c r="E363" s="10" t="inlineStr">
        <is>
          <t>EXPLICITO</t>
        </is>
      </c>
      <c r="F363" s="10" t="inlineStr">
        <is>
          <t>Fecha y hora</t>
        </is>
      </c>
      <c r="G363" s="12">
        <f>IF(B363="","",IFERROR(INDEX(ref_preguntas!$C$2:$C$200,MATCH(B363,ref_preguntas!$A$2:$A$200,0)),"ID no existe"))</f>
        <v/>
      </c>
    </row>
    <row r="364">
      <c r="A364" s="10" t="inlineStr">
        <is>
          <t>MH-032</t>
        </is>
      </c>
      <c r="B364" s="10" t="inlineStr">
        <is>
          <t>P09</t>
        </is>
      </c>
      <c r="C364" s="10" t="inlineStr"/>
      <c r="D364" s="10" t="inlineStr">
        <is>
          <t>REST_ORIENTAL</t>
        </is>
      </c>
      <c r="E364" s="10" t="inlineStr">
        <is>
          <t>EXPLICITO</t>
        </is>
      </c>
      <c r="F364" s="10" t="inlineStr">
        <is>
          <t>Rubro confirmado por el equipo (2026-10-10)</t>
        </is>
      </c>
      <c r="G364" s="12">
        <f>IF(B364="","",IFERROR(INDEX(ref_preguntas!$C$2:$C$200,MATCH(B364,ref_preguntas!$A$2:$A$200,0)),"ID no existe"))</f>
        <v/>
      </c>
    </row>
    <row r="365">
      <c r="A365" s="10" t="inlineStr">
        <is>
          <t>MH-032</t>
        </is>
      </c>
      <c r="B365" s="10" t="inlineStr">
        <is>
          <t>P03</t>
        </is>
      </c>
      <c r="C365" s="10" t="inlineStr"/>
      <c r="D365" s="10" t="inlineStr">
        <is>
          <t>Av. Diagonal 344, Miraflores</t>
        </is>
      </c>
      <c r="E365" s="10" t="inlineStr">
        <is>
          <t>EXPLICITO</t>
        </is>
      </c>
      <c r="F365" s="10" t="inlineStr">
        <is>
          <t>Dirección</t>
        </is>
      </c>
      <c r="G365" s="12">
        <f>IF(B365="","",IFERROR(INDEX(ref_preguntas!$C$2:$C$200,MATCH(B365,ref_preguntas!$A$2:$A$200,0)),"ID no existe"))</f>
        <v/>
      </c>
    </row>
    <row r="366">
      <c r="A366" s="10" t="inlineStr">
        <is>
          <t>MH-032</t>
        </is>
      </c>
      <c r="B366" s="10" t="inlineStr">
        <is>
          <t>P04</t>
        </is>
      </c>
      <c r="C366" s="10" t="inlineStr"/>
      <c r="D366" s="10" t="inlineStr">
        <is>
          <t>Gabriela</t>
        </is>
      </c>
      <c r="E366" s="10" t="inlineStr">
        <is>
          <t>EXPLICITO</t>
        </is>
      </c>
      <c r="F366" s="10" t="inlineStr">
        <is>
          <t>Team cliente</t>
        </is>
      </c>
      <c r="G366" s="12">
        <f>IF(B366="","",IFERROR(INDEX(ref_preguntas!$C$2:$C$200,MATCH(B366,ref_preguntas!$A$2:$A$200,0)),"ID no existe"))</f>
        <v/>
      </c>
    </row>
    <row r="367">
      <c r="A367" s="10" t="inlineStr">
        <is>
          <t>MH-032</t>
        </is>
      </c>
      <c r="B367" s="10" t="inlineStr">
        <is>
          <t>P12</t>
        </is>
      </c>
      <c r="C367" s="10" t="inlineStr"/>
      <c r="D367" s="10" t="inlineStr">
        <is>
          <t>1</t>
        </is>
      </c>
      <c r="E367" s="10" t="inlineStr">
        <is>
          <t>INFERIDO</t>
        </is>
      </c>
      <c r="F367" s="10" t="inlineStr">
        <is>
          <t>Cajas mencionadas</t>
        </is>
      </c>
      <c r="G367" s="12">
        <f>IF(B367="","",IFERROR(INDEX(ref_preguntas!$C$2:$C$200,MATCH(B367,ref_preguntas!$A$2:$A$200,0)),"ID no existe"))</f>
        <v/>
      </c>
    </row>
    <row r="368">
      <c r="A368" s="10" t="inlineStr">
        <is>
          <t>MH-032</t>
        </is>
      </c>
      <c r="B368" s="10" t="inlineStr">
        <is>
          <t>P13</t>
        </is>
      </c>
      <c r="C368" s="10" t="inlineStr"/>
      <c r="D368" s="10" t="inlineStr">
        <is>
          <t>MOVISTAR</t>
        </is>
      </c>
      <c r="E368" s="10" t="inlineStr">
        <is>
          <t>EXPLICITO</t>
        </is>
      </c>
      <c r="F368" s="10" t="inlineStr">
        <is>
          <t>Velocidad / red</t>
        </is>
      </c>
      <c r="G368" s="12">
        <f>IF(B368="","",IFERROR(INDEX(ref_preguntas!$C$2:$C$200,MATCH(B368,ref_preguntas!$A$2:$A$200,0)),"ID no existe"))</f>
        <v/>
      </c>
    </row>
    <row r="369">
      <c r="A369" s="10" t="inlineStr">
        <is>
          <t>MH-032</t>
        </is>
      </c>
      <c r="B369" s="10" t="inlineStr">
        <is>
          <t>P15</t>
        </is>
      </c>
      <c r="C369" s="10" t="inlineStr"/>
      <c r="D369" s="10" t="inlineStr">
        <is>
          <t>100</t>
        </is>
      </c>
      <c r="E369" s="10" t="inlineStr">
        <is>
          <t>EXPLICITO</t>
        </is>
      </c>
      <c r="F369" s="10" t="inlineStr">
        <is>
          <t>Velocidad de internet</t>
        </is>
      </c>
      <c r="G369" s="12">
        <f>IF(B369="","",IFERROR(INDEX(ref_preguntas!$C$2:$C$200,MATCH(B369,ref_preguntas!$A$2:$A$200,0)),"ID no existe"))</f>
        <v/>
      </c>
    </row>
    <row r="370">
      <c r="A370" s="10" t="inlineStr">
        <is>
          <t>MH-032</t>
        </is>
      </c>
      <c r="B370" s="10" t="inlineStr">
        <is>
          <t>P51</t>
        </is>
      </c>
      <c r="C370" s="10" t="inlineStr"/>
      <c r="D370" s="10" t="inlineStr">
        <is>
          <t>ID: Kevin Flores · Cliente: Gabriela</t>
        </is>
      </c>
      <c r="E370" s="10" t="inlineStr">
        <is>
          <t>EXPLICITO</t>
        </is>
      </c>
      <c r="F370" s="10" t="inlineStr">
        <is>
          <t>Asistentes</t>
        </is>
      </c>
      <c r="G370" s="12">
        <f>IF(B370="","",IFERROR(INDEX(ref_preguntas!$C$2:$C$200,MATCH(B370,ref_preguntas!$A$2:$A$200,0)),"ID no existe"))</f>
        <v/>
      </c>
    </row>
    <row r="371">
      <c r="A371" s="10" t="inlineStr">
        <is>
          <t>MH-033</t>
        </is>
      </c>
      <c r="B371" s="10" t="inlineStr">
        <is>
          <t>P01</t>
        </is>
      </c>
      <c r="C371" s="10" t="inlineStr"/>
      <c r="D371" s="10" t="inlineStr">
        <is>
          <t>Modonese</t>
        </is>
      </c>
      <c r="E371" s="10" t="inlineStr">
        <is>
          <t>EXPLICITO</t>
        </is>
      </c>
      <c r="F371" s="10" t="inlineStr">
        <is>
          <t>Título</t>
        </is>
      </c>
      <c r="G371" s="12">
        <f>IF(B371="","",IFERROR(INDEX(ref_preguntas!$C$2:$C$200,MATCH(B371,ref_preguntas!$A$2:$A$200,0)),"ID no existe"))</f>
        <v/>
      </c>
    </row>
    <row r="372">
      <c r="A372" s="10" t="inlineStr">
        <is>
          <t>MH-033</t>
        </is>
      </c>
      <c r="B372" s="10" t="inlineStr">
        <is>
          <t>P02</t>
        </is>
      </c>
      <c r="C372" s="10" t="inlineStr"/>
      <c r="D372" s="10" t="inlineStr">
        <is>
          <t>Modonese Arica</t>
        </is>
      </c>
      <c r="E372" s="10" t="inlineStr">
        <is>
          <t>EXPLICITO</t>
        </is>
      </c>
      <c r="F372" s="10" t="inlineStr">
        <is>
          <t>Título</t>
        </is>
      </c>
      <c r="G372" s="12">
        <f>IF(B372="","",IFERROR(INDEX(ref_preguntas!$C$2:$C$200,MATCH(B372,ref_preguntas!$A$2:$A$200,0)),"ID no existe"))</f>
        <v/>
      </c>
    </row>
    <row r="373">
      <c r="A373" s="10" t="inlineStr">
        <is>
          <t>MH-033</t>
        </is>
      </c>
      <c r="B373" s="10" t="inlineStr">
        <is>
          <t>P06</t>
        </is>
      </c>
      <c r="C373" s="10" t="inlineStr"/>
      <c r="D373" s="10" t="inlineStr">
        <is>
          <t>2024-11-09</t>
        </is>
      </c>
      <c r="E373" s="10" t="inlineStr">
        <is>
          <t>EXPLICITO</t>
        </is>
      </c>
      <c r="F373" s="10" t="inlineStr">
        <is>
          <t>Fecha y hora</t>
        </is>
      </c>
      <c r="G373" s="12">
        <f>IF(B373="","",IFERROR(INDEX(ref_preguntas!$C$2:$C$200,MATCH(B373,ref_preguntas!$A$2:$A$200,0)),"ID no existe"))</f>
        <v/>
      </c>
    </row>
    <row r="374">
      <c r="A374" s="10" t="inlineStr">
        <is>
          <t>MH-033</t>
        </is>
      </c>
      <c r="B374" s="10" t="inlineStr">
        <is>
          <t>P09</t>
        </is>
      </c>
      <c r="C374" s="10" t="inlineStr"/>
      <c r="D374" s="10" t="inlineStr">
        <is>
          <t>REST_PESCADOS</t>
        </is>
      </c>
      <c r="E374" s="10" t="inlineStr">
        <is>
          <t>EXPLICITO</t>
        </is>
      </c>
      <c r="F374" s="10" t="inlineStr">
        <is>
          <t>Rubro confirmado por el equipo (2026-10-10)</t>
        </is>
      </c>
      <c r="G374" s="12">
        <f>IF(B374="","",IFERROR(INDEX(ref_preguntas!$C$2:$C$200,MATCH(B374,ref_preguntas!$A$2:$A$200,0)),"ID no existe"))</f>
        <v/>
      </c>
    </row>
    <row r="375">
      <c r="A375" s="10" t="inlineStr">
        <is>
          <t>MH-033</t>
        </is>
      </c>
      <c r="B375" s="10" t="inlineStr">
        <is>
          <t>P03</t>
        </is>
      </c>
      <c r="C375" s="10" t="inlineStr"/>
      <c r="D375" s="10" t="inlineStr">
        <is>
          <t>Jr. Arica 880</t>
        </is>
      </c>
      <c r="E375" s="10" t="inlineStr">
        <is>
          <t>EXPLICITO</t>
        </is>
      </c>
      <c r="F375" s="10" t="inlineStr">
        <is>
          <t>Dirección</t>
        </is>
      </c>
      <c r="G375" s="12">
        <f>IF(B375="","",IFERROR(INDEX(ref_preguntas!$C$2:$C$200,MATCH(B375,ref_preguntas!$A$2:$A$200,0)),"ID no existe"))</f>
        <v/>
      </c>
    </row>
    <row r="376">
      <c r="A376" s="10" t="inlineStr">
        <is>
          <t>MH-033</t>
        </is>
      </c>
      <c r="B376" s="10" t="inlineStr">
        <is>
          <t>P04</t>
        </is>
      </c>
      <c r="C376" s="10" t="inlineStr"/>
      <c r="D376" s="10" t="inlineStr">
        <is>
          <t>Diego (caja)</t>
        </is>
      </c>
      <c r="E376" s="10" t="inlineStr">
        <is>
          <t>EXPLICITO</t>
        </is>
      </c>
      <c r="F376" s="10" t="inlineStr">
        <is>
          <t>Team cliente</t>
        </is>
      </c>
      <c r="G376" s="12">
        <f>IF(B376="","",IFERROR(INDEX(ref_preguntas!$C$2:$C$200,MATCH(B376,ref_preguntas!$A$2:$A$200,0)),"ID no existe"))</f>
        <v/>
      </c>
    </row>
    <row r="377">
      <c r="A377" s="10" t="inlineStr">
        <is>
          <t>MH-033</t>
        </is>
      </c>
      <c r="B377" s="10" t="inlineStr">
        <is>
          <t>P12</t>
        </is>
      </c>
      <c r="C377" s="10" t="inlineStr"/>
      <c r="D377" s="10" t="inlineStr">
        <is>
          <t>1</t>
        </is>
      </c>
      <c r="E377" s="10" t="inlineStr">
        <is>
          <t>INFERIDO</t>
        </is>
      </c>
      <c r="F377" s="10" t="inlineStr">
        <is>
          <t>Cajas mencionadas</t>
        </is>
      </c>
      <c r="G377" s="12">
        <f>IF(B377="","",IFERROR(INDEX(ref_preguntas!$C$2:$C$200,MATCH(B377,ref_preguntas!$A$2:$A$200,0)),"ID no existe"))</f>
        <v/>
      </c>
    </row>
    <row r="378">
      <c r="A378" s="10" t="inlineStr">
        <is>
          <t>MH-033</t>
        </is>
      </c>
      <c r="B378" s="10" t="inlineStr">
        <is>
          <t>P14</t>
        </is>
      </c>
      <c r="C378" s="10" t="inlineStr"/>
      <c r="D378" s="10" t="inlineStr">
        <is>
          <t>FIBRA</t>
        </is>
      </c>
      <c r="E378" s="10" t="inlineStr">
        <is>
          <t>EXPLICITO</t>
        </is>
      </c>
      <c r="F378" s="10" t="inlineStr">
        <is>
          <t>Velocidad / red</t>
        </is>
      </c>
      <c r="G378" s="12">
        <f>IF(B378="","",IFERROR(INDEX(ref_preguntas!$C$2:$C$200,MATCH(B378,ref_preguntas!$A$2:$A$200,0)),"ID no existe"))</f>
        <v/>
      </c>
    </row>
    <row r="379">
      <c r="A379" s="10" t="inlineStr">
        <is>
          <t>MH-033</t>
        </is>
      </c>
      <c r="B379" s="10" t="inlineStr">
        <is>
          <t>P15</t>
        </is>
      </c>
      <c r="C379" s="10" t="inlineStr"/>
      <c r="D379" s="10" t="inlineStr">
        <is>
          <t>400</t>
        </is>
      </c>
      <c r="E379" s="10" t="inlineStr">
        <is>
          <t>EXPLICITO</t>
        </is>
      </c>
      <c r="F379" s="10" t="inlineStr">
        <is>
          <t>Velocidad de internet</t>
        </is>
      </c>
      <c r="G379" s="12">
        <f>IF(B379="","",IFERROR(INDEX(ref_preguntas!$C$2:$C$200,MATCH(B379,ref_preguntas!$A$2:$A$200,0)),"ID no existe"))</f>
        <v/>
      </c>
    </row>
    <row r="380">
      <c r="A380" s="10" t="inlineStr">
        <is>
          <t>MH-033</t>
        </is>
      </c>
      <c r="B380" s="10" t="inlineStr">
        <is>
          <t>P51</t>
        </is>
      </c>
      <c r="C380" s="10" t="inlineStr"/>
      <c r="D380" s="10" t="inlineStr">
        <is>
          <t>ID: Kevin · Cliente: Diego (caja)</t>
        </is>
      </c>
      <c r="E380" s="10" t="inlineStr">
        <is>
          <t>EXPLICITO</t>
        </is>
      </c>
      <c r="F380" s="10" t="inlineStr">
        <is>
          <t>Asistentes</t>
        </is>
      </c>
      <c r="G380" s="12">
        <f>IF(B380="","",IFERROR(INDEX(ref_preguntas!$C$2:$C$200,MATCH(B380,ref_preguntas!$A$2:$A$200,0)),"ID no existe"))</f>
        <v/>
      </c>
    </row>
    <row r="381">
      <c r="A381" s="10" t="inlineStr">
        <is>
          <t>MH-034</t>
        </is>
      </c>
      <c r="B381" s="10" t="inlineStr">
        <is>
          <t>P01</t>
        </is>
      </c>
      <c r="C381" s="10" t="inlineStr"/>
      <c r="D381" s="10" t="inlineStr">
        <is>
          <t>Omakase</t>
        </is>
      </c>
      <c r="E381" s="10" t="inlineStr">
        <is>
          <t>EXPLICITO</t>
        </is>
      </c>
      <c r="F381" s="10" t="inlineStr">
        <is>
          <t>Título</t>
        </is>
      </c>
      <c r="G381" s="12">
        <f>IF(B381="","",IFERROR(INDEX(ref_preguntas!$C$2:$C$200,MATCH(B381,ref_preguntas!$A$2:$A$200,0)),"ID no existe"))</f>
        <v/>
      </c>
    </row>
    <row r="382">
      <c r="A382" s="10" t="inlineStr">
        <is>
          <t>MH-034</t>
        </is>
      </c>
      <c r="B382" s="10" t="inlineStr">
        <is>
          <t>P02</t>
        </is>
      </c>
      <c r="C382" s="10" t="inlineStr"/>
      <c r="D382" s="10" t="inlineStr">
        <is>
          <t>Omakase</t>
        </is>
      </c>
      <c r="E382" s="10" t="inlineStr">
        <is>
          <t>EXPLICITO</t>
        </is>
      </c>
      <c r="F382" s="10" t="inlineStr">
        <is>
          <t>Título</t>
        </is>
      </c>
      <c r="G382" s="12">
        <f>IF(B382="","",IFERROR(INDEX(ref_preguntas!$C$2:$C$200,MATCH(B382,ref_preguntas!$A$2:$A$200,0)),"ID no existe"))</f>
        <v/>
      </c>
    </row>
    <row r="383">
      <c r="A383" s="10" t="inlineStr">
        <is>
          <t>MH-034</t>
        </is>
      </c>
      <c r="B383" s="10" t="inlineStr">
        <is>
          <t>P06</t>
        </is>
      </c>
      <c r="C383" s="10" t="inlineStr"/>
      <c r="D383" s="10" t="inlineStr">
        <is>
          <t>2023-11-13</t>
        </is>
      </c>
      <c r="E383" s="10" t="inlineStr">
        <is>
          <t>EXPLICITO</t>
        </is>
      </c>
      <c r="F383" s="10" t="inlineStr">
        <is>
          <t>Fecha y hora</t>
        </is>
      </c>
      <c r="G383" s="12">
        <f>IF(B383="","",IFERROR(INDEX(ref_preguntas!$C$2:$C$200,MATCH(B383,ref_preguntas!$A$2:$A$200,0)),"ID no existe"))</f>
        <v/>
      </c>
    </row>
    <row r="384">
      <c r="A384" s="10" t="inlineStr">
        <is>
          <t>MH-034</t>
        </is>
      </c>
      <c r="B384" s="10" t="inlineStr">
        <is>
          <t>P09</t>
        </is>
      </c>
      <c r="C384" s="10" t="inlineStr"/>
      <c r="D384" s="10" t="inlineStr">
        <is>
          <t>REST_ORIENTAL</t>
        </is>
      </c>
      <c r="E384" s="10" t="inlineStr">
        <is>
          <t>EXPLICITO</t>
        </is>
      </c>
      <c r="F384" s="10" t="inlineStr">
        <is>
          <t>Rubro confirmado por el equipo (2026-10-10)</t>
        </is>
      </c>
      <c r="G384" s="12">
        <f>IF(B384="","",IFERROR(INDEX(ref_preguntas!$C$2:$C$200,MATCH(B384,ref_preguntas!$A$2:$A$200,0)),"ID no existe"))</f>
        <v/>
      </c>
    </row>
    <row r="385">
      <c r="A385" s="10" t="inlineStr">
        <is>
          <t>MH-034</t>
        </is>
      </c>
      <c r="B385" s="10" t="inlineStr">
        <is>
          <t>P03</t>
        </is>
      </c>
      <c r="C385" s="10" t="inlineStr"/>
      <c r="D385" s="10" t="inlineStr">
        <is>
          <t>Santiago de Compostela, La Molina 15026</t>
        </is>
      </c>
      <c r="E385" s="10" t="inlineStr">
        <is>
          <t>EXPLICITO</t>
        </is>
      </c>
      <c r="F385" s="10" t="inlineStr">
        <is>
          <t>Dirección</t>
        </is>
      </c>
      <c r="G385" s="12">
        <f>IF(B385="","",IFERROR(INDEX(ref_preguntas!$C$2:$C$200,MATCH(B385,ref_preguntas!$A$2:$A$200,0)),"ID no existe"))</f>
        <v/>
      </c>
    </row>
    <row r="386">
      <c r="A386" s="10" t="inlineStr">
        <is>
          <t>MH-034</t>
        </is>
      </c>
      <c r="B386" s="10" t="inlineStr">
        <is>
          <t>P04</t>
        </is>
      </c>
      <c r="C386" s="10" t="inlineStr"/>
      <c r="D386" s="10" t="inlineStr">
        <is>
          <t>Keyri, Álvaro</t>
        </is>
      </c>
      <c r="E386" s="10" t="inlineStr">
        <is>
          <t>EXPLICITO</t>
        </is>
      </c>
      <c r="F386" s="10" t="inlineStr">
        <is>
          <t>Team cliente</t>
        </is>
      </c>
      <c r="G386" s="12">
        <f>IF(B386="","",IFERROR(INDEX(ref_preguntas!$C$2:$C$200,MATCH(B386,ref_preguntas!$A$2:$A$200,0)),"ID no existe"))</f>
        <v/>
      </c>
    </row>
    <row r="387">
      <c r="A387" s="10" t="inlineStr">
        <is>
          <t>MH-034</t>
        </is>
      </c>
      <c r="B387" s="10" t="inlineStr">
        <is>
          <t>P12</t>
        </is>
      </c>
      <c r="C387" s="10" t="inlineStr"/>
      <c r="D387" s="10" t="inlineStr">
        <is>
          <t>1</t>
        </is>
      </c>
      <c r="E387" s="10" t="inlineStr">
        <is>
          <t>INFERIDO</t>
        </is>
      </c>
      <c r="F387" s="10" t="inlineStr">
        <is>
          <t>Cajas mencionadas</t>
        </is>
      </c>
      <c r="G387" s="12">
        <f>IF(B387="","",IFERROR(INDEX(ref_preguntas!$C$2:$C$200,MATCH(B387,ref_preguntas!$A$2:$A$200,0)),"ID no existe"))</f>
        <v/>
      </c>
    </row>
    <row r="388">
      <c r="A388" s="10" t="inlineStr">
        <is>
          <t>MH-034</t>
        </is>
      </c>
      <c r="B388" s="10" t="inlineStr">
        <is>
          <t>P51</t>
        </is>
      </c>
      <c r="C388" s="10" t="inlineStr"/>
      <c r="D388" s="10" t="inlineStr">
        <is>
          <t>ID: Sandra · Cliente: Keyri, Álvaro</t>
        </is>
      </c>
      <c r="E388" s="10" t="inlineStr">
        <is>
          <t>EXPLICITO</t>
        </is>
      </c>
      <c r="F388" s="10" t="inlineStr">
        <is>
          <t>Asistentes</t>
        </is>
      </c>
      <c r="G388" s="12">
        <f>IF(B388="","",IFERROR(INDEX(ref_preguntas!$C$2:$C$200,MATCH(B388,ref_preguntas!$A$2:$A$200,0)),"ID no existe"))</f>
        <v/>
      </c>
    </row>
    <row r="389">
      <c r="A389" s="10" t="inlineStr">
        <is>
          <t>MH-035</t>
        </is>
      </c>
      <c r="B389" s="10" t="inlineStr">
        <is>
          <t>P01</t>
        </is>
      </c>
      <c r="C389" s="10" t="inlineStr"/>
      <c r="D389" s="10" t="inlineStr">
        <is>
          <t>Shimaya Ramen</t>
        </is>
      </c>
      <c r="E389" s="10" t="inlineStr">
        <is>
          <t>EXPLICITO</t>
        </is>
      </c>
      <c r="F389" s="10" t="inlineStr">
        <is>
          <t>Título</t>
        </is>
      </c>
      <c r="G389" s="12">
        <f>IF(B389="","",IFERROR(INDEX(ref_preguntas!$C$2:$C$200,MATCH(B389,ref_preguntas!$A$2:$A$200,0)),"ID no existe"))</f>
        <v/>
      </c>
    </row>
    <row r="390">
      <c r="A390" s="10" t="inlineStr">
        <is>
          <t>MH-035</t>
        </is>
      </c>
      <c r="B390" s="10" t="inlineStr">
        <is>
          <t>P02</t>
        </is>
      </c>
      <c r="C390" s="10" t="inlineStr"/>
      <c r="D390" s="10" t="inlineStr">
        <is>
          <t>Shimaya Chorrillos</t>
        </is>
      </c>
      <c r="E390" s="10" t="inlineStr">
        <is>
          <t>EXPLICITO</t>
        </is>
      </c>
      <c r="F390" s="10" t="inlineStr">
        <is>
          <t>Título</t>
        </is>
      </c>
      <c r="G390" s="12">
        <f>IF(B390="","",IFERROR(INDEX(ref_preguntas!$C$2:$C$200,MATCH(B390,ref_preguntas!$A$2:$A$200,0)),"ID no existe"))</f>
        <v/>
      </c>
    </row>
    <row r="391">
      <c r="A391" s="10" t="inlineStr">
        <is>
          <t>MH-035</t>
        </is>
      </c>
      <c r="B391" s="10" t="inlineStr">
        <is>
          <t>P06</t>
        </is>
      </c>
      <c r="C391" s="10" t="inlineStr"/>
      <c r="D391" s="10" t="inlineStr">
        <is>
          <t>2024-03-12</t>
        </is>
      </c>
      <c r="E391" s="10" t="inlineStr">
        <is>
          <t>EXPLICITO</t>
        </is>
      </c>
      <c r="F391" s="10" t="inlineStr">
        <is>
          <t>Fecha y hora</t>
        </is>
      </c>
      <c r="G391" s="12">
        <f>IF(B391="","",IFERROR(INDEX(ref_preguntas!$C$2:$C$200,MATCH(B391,ref_preguntas!$A$2:$A$200,0)),"ID no existe"))</f>
        <v/>
      </c>
    </row>
    <row r="392">
      <c r="A392" s="10" t="inlineStr">
        <is>
          <t>MH-035</t>
        </is>
      </c>
      <c r="B392" s="10" t="inlineStr">
        <is>
          <t>P09</t>
        </is>
      </c>
      <c r="C392" s="10" t="inlineStr"/>
      <c r="D392" s="10" t="inlineStr">
        <is>
          <t>REST_ORIENTAL</t>
        </is>
      </c>
      <c r="E392" s="10" t="inlineStr">
        <is>
          <t>EXPLICITO</t>
        </is>
      </c>
      <c r="F392" s="10" t="inlineStr">
        <is>
          <t>Rubro confirmado por el equipo (2026-10-10)</t>
        </is>
      </c>
      <c r="G392" s="12">
        <f>IF(B392="","",IFERROR(INDEX(ref_preguntas!$C$2:$C$200,MATCH(B392,ref_preguntas!$A$2:$A$200,0)),"ID no existe"))</f>
        <v/>
      </c>
    </row>
    <row r="393">
      <c r="A393" s="10" t="inlineStr">
        <is>
          <t>MH-035</t>
        </is>
      </c>
      <c r="B393" s="10" t="inlineStr">
        <is>
          <t>P03</t>
        </is>
      </c>
      <c r="C393" s="10" t="inlineStr"/>
      <c r="D393" s="10" t="inlineStr">
        <is>
          <t>Av. Defensores del Morro 448, Chorrillos</t>
        </is>
      </c>
      <c r="E393" s="10" t="inlineStr">
        <is>
          <t>EXPLICITO</t>
        </is>
      </c>
      <c r="F393" s="10" t="inlineStr">
        <is>
          <t>Dirección</t>
        </is>
      </c>
      <c r="G393" s="12">
        <f>IF(B393="","",IFERROR(INDEX(ref_preguntas!$C$2:$C$200,MATCH(B393,ref_preguntas!$A$2:$A$200,0)),"ID no existe"))</f>
        <v/>
      </c>
    </row>
    <row r="394">
      <c r="A394" s="10" t="inlineStr">
        <is>
          <t>MH-035</t>
        </is>
      </c>
      <c r="B394" s="10" t="inlineStr">
        <is>
          <t>P04</t>
        </is>
      </c>
      <c r="C394" s="10" t="inlineStr"/>
      <c r="D394" s="10" t="inlineStr">
        <is>
          <t>Shinjuu</t>
        </is>
      </c>
      <c r="E394" s="10" t="inlineStr">
        <is>
          <t>EXPLICITO</t>
        </is>
      </c>
      <c r="F394" s="10" t="inlineStr">
        <is>
          <t>Team cliente</t>
        </is>
      </c>
      <c r="G394" s="12">
        <f>IF(B394="","",IFERROR(INDEX(ref_preguntas!$C$2:$C$200,MATCH(B394,ref_preguntas!$A$2:$A$200,0)),"ID no existe"))</f>
        <v/>
      </c>
    </row>
    <row r="395">
      <c r="A395" s="10" t="inlineStr">
        <is>
          <t>MH-035</t>
        </is>
      </c>
      <c r="B395" s="10" t="inlineStr">
        <is>
          <t>P12</t>
        </is>
      </c>
      <c r="C395" s="10" t="inlineStr"/>
      <c r="D395" s="10" t="inlineStr">
        <is>
          <t>1</t>
        </is>
      </c>
      <c r="E395" s="10" t="inlineStr">
        <is>
          <t>INFERIDO</t>
        </is>
      </c>
      <c r="F395" s="10" t="inlineStr">
        <is>
          <t>Cajas mencionadas</t>
        </is>
      </c>
      <c r="G395" s="12">
        <f>IF(B395="","",IFERROR(INDEX(ref_preguntas!$C$2:$C$200,MATCH(B395,ref_preguntas!$A$2:$A$200,0)),"ID no existe"))</f>
        <v/>
      </c>
    </row>
    <row r="396">
      <c r="A396" s="10" t="inlineStr">
        <is>
          <t>MH-035</t>
        </is>
      </c>
      <c r="B396" s="10" t="inlineStr">
        <is>
          <t>P13</t>
        </is>
      </c>
      <c r="C396" s="10" t="inlineStr"/>
      <c r="D396" s="10" t="inlineStr">
        <is>
          <t>MOVISTAR</t>
        </is>
      </c>
      <c r="E396" s="10" t="inlineStr">
        <is>
          <t>EXPLICITO</t>
        </is>
      </c>
      <c r="F396" s="10" t="inlineStr">
        <is>
          <t>Velocidad / red</t>
        </is>
      </c>
      <c r="G396" s="12">
        <f>IF(B396="","",IFERROR(INDEX(ref_preguntas!$C$2:$C$200,MATCH(B396,ref_preguntas!$A$2:$A$200,0)),"ID no existe"))</f>
        <v/>
      </c>
    </row>
    <row r="397">
      <c r="A397" s="10" t="inlineStr">
        <is>
          <t>MH-035</t>
        </is>
      </c>
      <c r="B397" s="10" t="inlineStr">
        <is>
          <t>P14</t>
        </is>
      </c>
      <c r="C397" s="10" t="inlineStr"/>
      <c r="D397" s="10" t="inlineStr">
        <is>
          <t>COAXIAL</t>
        </is>
      </c>
      <c r="E397" s="10" t="inlineStr">
        <is>
          <t>EXPLICITO</t>
        </is>
      </c>
      <c r="F397" s="10" t="inlineStr">
        <is>
          <t>Velocidad / red</t>
        </is>
      </c>
      <c r="G397" s="12">
        <f>IF(B397="","",IFERROR(INDEX(ref_preguntas!$C$2:$C$200,MATCH(B397,ref_preguntas!$A$2:$A$200,0)),"ID no existe"))</f>
        <v/>
      </c>
    </row>
    <row r="398">
      <c r="A398" s="10" t="inlineStr">
        <is>
          <t>MH-035</t>
        </is>
      </c>
      <c r="B398" s="10" t="inlineStr">
        <is>
          <t>P15</t>
        </is>
      </c>
      <c r="C398" s="10" t="inlineStr"/>
      <c r="D398" s="10" t="inlineStr">
        <is>
          <t>250</t>
        </is>
      </c>
      <c r="E398" s="10" t="inlineStr">
        <is>
          <t>EXPLICITO</t>
        </is>
      </c>
      <c r="F398" s="10" t="inlineStr">
        <is>
          <t>Velocidad de internet</t>
        </is>
      </c>
      <c r="G398" s="12">
        <f>IF(B398="","",IFERROR(INDEX(ref_preguntas!$C$2:$C$200,MATCH(B398,ref_preguntas!$A$2:$A$200,0)),"ID no existe"))</f>
        <v/>
      </c>
    </row>
    <row r="399">
      <c r="A399" s="10" t="inlineStr">
        <is>
          <t>MH-035</t>
        </is>
      </c>
      <c r="B399" s="10" t="inlineStr">
        <is>
          <t>P51</t>
        </is>
      </c>
      <c r="C399" s="10" t="inlineStr"/>
      <c r="D399" s="10" t="inlineStr">
        <is>
          <t>ID: Kevin · Cliente: Shinjuu</t>
        </is>
      </c>
      <c r="E399" s="10" t="inlineStr">
        <is>
          <t>EXPLICITO</t>
        </is>
      </c>
      <c r="F399" s="10" t="inlineStr">
        <is>
          <t>Asistentes</t>
        </is>
      </c>
      <c r="G399" s="12">
        <f>IF(B399="","",IFERROR(INDEX(ref_preguntas!$C$2:$C$200,MATCH(B399,ref_preguntas!$A$2:$A$200,0)),"ID no existe"))</f>
        <v/>
      </c>
    </row>
    <row r="400">
      <c r="A400" s="10" t="inlineStr">
        <is>
          <t>MH-036</t>
        </is>
      </c>
      <c r="B400" s="10" t="inlineStr">
        <is>
          <t>P01</t>
        </is>
      </c>
      <c r="C400" s="10" t="inlineStr"/>
      <c r="D400" s="10" t="inlineStr">
        <is>
          <t>Shimaya Ramen</t>
        </is>
      </c>
      <c r="E400" s="10" t="inlineStr">
        <is>
          <t>EXPLICITO</t>
        </is>
      </c>
      <c r="F400" s="10" t="inlineStr">
        <is>
          <t>Título</t>
        </is>
      </c>
      <c r="G400" s="12">
        <f>IF(B400="","",IFERROR(INDEX(ref_preguntas!$C$2:$C$200,MATCH(B400,ref_preguntas!$A$2:$A$200,0)),"ID no existe"))</f>
        <v/>
      </c>
    </row>
    <row r="401">
      <c r="A401" s="10" t="inlineStr">
        <is>
          <t>MH-036</t>
        </is>
      </c>
      <c r="B401" s="10" t="inlineStr">
        <is>
          <t>P02</t>
        </is>
      </c>
      <c r="C401" s="10" t="inlineStr"/>
      <c r="D401" s="10" t="inlineStr">
        <is>
          <t>Shimaya Los Olivos</t>
        </is>
      </c>
      <c r="E401" s="10" t="inlineStr">
        <is>
          <t>EXPLICITO</t>
        </is>
      </c>
      <c r="F401" s="10" t="inlineStr">
        <is>
          <t>Título</t>
        </is>
      </c>
      <c r="G401" s="12">
        <f>IF(B401="","",IFERROR(INDEX(ref_preguntas!$C$2:$C$200,MATCH(B401,ref_preguntas!$A$2:$A$200,0)),"ID no existe"))</f>
        <v/>
      </c>
    </row>
    <row r="402">
      <c r="A402" s="10" t="inlineStr">
        <is>
          <t>MH-036</t>
        </is>
      </c>
      <c r="B402" s="10" t="inlineStr">
        <is>
          <t>P06</t>
        </is>
      </c>
      <c r="C402" s="10" t="inlineStr"/>
      <c r="D402" s="10" t="inlineStr">
        <is>
          <t>2024-03-09</t>
        </is>
      </c>
      <c r="E402" s="10" t="inlineStr">
        <is>
          <t>EXPLICITO</t>
        </is>
      </c>
      <c r="F402" s="10" t="inlineStr">
        <is>
          <t>Fecha y hora</t>
        </is>
      </c>
      <c r="G402" s="12">
        <f>IF(B402="","",IFERROR(INDEX(ref_preguntas!$C$2:$C$200,MATCH(B402,ref_preguntas!$A$2:$A$200,0)),"ID no existe"))</f>
        <v/>
      </c>
    </row>
    <row r="403">
      <c r="A403" s="10" t="inlineStr">
        <is>
          <t>MH-036</t>
        </is>
      </c>
      <c r="B403" s="10" t="inlineStr">
        <is>
          <t>P09</t>
        </is>
      </c>
      <c r="C403" s="10" t="inlineStr"/>
      <c r="D403" s="10" t="inlineStr">
        <is>
          <t>REST_ORIENTAL</t>
        </is>
      </c>
      <c r="E403" s="10" t="inlineStr">
        <is>
          <t>EXPLICITO</t>
        </is>
      </c>
      <c r="F403" s="10" t="inlineStr">
        <is>
          <t>Rubro confirmado por el equipo (2026-10-10)</t>
        </is>
      </c>
      <c r="G403" s="12">
        <f>IF(B403="","",IFERROR(INDEX(ref_preguntas!$C$2:$C$200,MATCH(B403,ref_preguntas!$A$2:$A$200,0)),"ID no existe"))</f>
        <v/>
      </c>
    </row>
    <row r="404">
      <c r="A404" s="10" t="inlineStr">
        <is>
          <t>MH-036</t>
        </is>
      </c>
      <c r="B404" s="10" t="inlineStr">
        <is>
          <t>P03</t>
        </is>
      </c>
      <c r="C404" s="10" t="inlineStr"/>
      <c r="D404" s="10" t="inlineStr">
        <is>
          <t>Av. Carlos Izaguirre 789</t>
        </is>
      </c>
      <c r="E404" s="10" t="inlineStr">
        <is>
          <t>EXPLICITO</t>
        </is>
      </c>
      <c r="F404" s="10" t="inlineStr">
        <is>
          <t>Dirección</t>
        </is>
      </c>
      <c r="G404" s="12">
        <f>IF(B404="","",IFERROR(INDEX(ref_preguntas!$C$2:$C$200,MATCH(B404,ref_preguntas!$A$2:$A$200,0)),"ID no existe"))</f>
        <v/>
      </c>
    </row>
    <row r="405">
      <c r="A405" s="10" t="inlineStr">
        <is>
          <t>MH-036</t>
        </is>
      </c>
      <c r="B405" s="10" t="inlineStr">
        <is>
          <t>P04</t>
        </is>
      </c>
      <c r="C405" s="10" t="inlineStr"/>
      <c r="D405" s="10" t="inlineStr">
        <is>
          <t>Yrama</t>
        </is>
      </c>
      <c r="E405" s="10" t="inlineStr">
        <is>
          <t>EXPLICITO</t>
        </is>
      </c>
      <c r="F405" s="10" t="inlineStr">
        <is>
          <t>Team cliente</t>
        </is>
      </c>
      <c r="G405" s="12">
        <f>IF(B405="","",IFERROR(INDEX(ref_preguntas!$C$2:$C$200,MATCH(B405,ref_preguntas!$A$2:$A$200,0)),"ID no existe"))</f>
        <v/>
      </c>
    </row>
    <row r="406">
      <c r="A406" s="10" t="inlineStr">
        <is>
          <t>MH-036</t>
        </is>
      </c>
      <c r="B406" s="10" t="inlineStr">
        <is>
          <t>P12</t>
        </is>
      </c>
      <c r="C406" s="10" t="inlineStr"/>
      <c r="D406" s="10" t="inlineStr">
        <is>
          <t>1</t>
        </is>
      </c>
      <c r="E406" s="10" t="inlineStr">
        <is>
          <t>INFERIDO</t>
        </is>
      </c>
      <c r="F406" s="10" t="inlineStr">
        <is>
          <t>Cajas mencionadas</t>
        </is>
      </c>
      <c r="G406" s="12">
        <f>IF(B406="","",IFERROR(INDEX(ref_preguntas!$C$2:$C$200,MATCH(B406,ref_preguntas!$A$2:$A$200,0)),"ID no existe"))</f>
        <v/>
      </c>
    </row>
    <row r="407">
      <c r="A407" s="10" t="inlineStr">
        <is>
          <t>MH-036</t>
        </is>
      </c>
      <c r="B407" s="10" t="inlineStr">
        <is>
          <t>P13</t>
        </is>
      </c>
      <c r="C407" s="10" t="inlineStr"/>
      <c r="D407" s="10" t="inlineStr">
        <is>
          <t>WIN</t>
        </is>
      </c>
      <c r="E407" s="10" t="inlineStr">
        <is>
          <t>EXPLICITO</t>
        </is>
      </c>
      <c r="F407" s="10" t="inlineStr">
        <is>
          <t>Velocidad / red</t>
        </is>
      </c>
      <c r="G407" s="12">
        <f>IF(B407="","",IFERROR(INDEX(ref_preguntas!$C$2:$C$200,MATCH(B407,ref_preguntas!$A$2:$A$200,0)),"ID no existe"))</f>
        <v/>
      </c>
    </row>
    <row r="408">
      <c r="A408" s="10" t="inlineStr">
        <is>
          <t>MH-036</t>
        </is>
      </c>
      <c r="B408" s="10" t="inlineStr">
        <is>
          <t>P14</t>
        </is>
      </c>
      <c r="C408" s="10" t="inlineStr"/>
      <c r="D408" s="10" t="inlineStr">
        <is>
          <t>FIBRA</t>
        </is>
      </c>
      <c r="E408" s="10" t="inlineStr">
        <is>
          <t>EXPLICITO</t>
        </is>
      </c>
      <c r="F408" s="10" t="inlineStr">
        <is>
          <t>Velocidad / red</t>
        </is>
      </c>
      <c r="G408" s="12">
        <f>IF(B408="","",IFERROR(INDEX(ref_preguntas!$C$2:$C$200,MATCH(B408,ref_preguntas!$A$2:$A$200,0)),"ID no existe"))</f>
        <v/>
      </c>
    </row>
    <row r="409">
      <c r="A409" s="10" t="inlineStr">
        <is>
          <t>MH-036</t>
        </is>
      </c>
      <c r="B409" s="10" t="inlineStr">
        <is>
          <t>P15</t>
        </is>
      </c>
      <c r="C409" s="10" t="inlineStr"/>
      <c r="D409" s="10" t="inlineStr">
        <is>
          <t>400</t>
        </is>
      </c>
      <c r="E409" s="10" t="inlineStr">
        <is>
          <t>EXPLICITO</t>
        </is>
      </c>
      <c r="F409" s="10" t="inlineStr">
        <is>
          <t>Velocidad de internet</t>
        </is>
      </c>
      <c r="G409" s="12">
        <f>IF(B409="","",IFERROR(INDEX(ref_preguntas!$C$2:$C$200,MATCH(B409,ref_preguntas!$A$2:$A$200,0)),"ID no existe"))</f>
        <v/>
      </c>
    </row>
    <row r="410">
      <c r="A410" s="10" t="inlineStr">
        <is>
          <t>MH-036</t>
        </is>
      </c>
      <c r="B410" s="10" t="inlineStr">
        <is>
          <t>P51</t>
        </is>
      </c>
      <c r="C410" s="10" t="inlineStr"/>
      <c r="D410" s="10" t="inlineStr">
        <is>
          <t>ID: Kevin · Cliente: Yrama</t>
        </is>
      </c>
      <c r="E410" s="10" t="inlineStr">
        <is>
          <t>EXPLICITO</t>
        </is>
      </c>
      <c r="F410" s="10" t="inlineStr">
        <is>
          <t>Asistentes</t>
        </is>
      </c>
      <c r="G410" s="12">
        <f>IF(B410="","",IFERROR(INDEX(ref_preguntas!$C$2:$C$200,MATCH(B410,ref_preguntas!$A$2:$A$200,0)),"ID no existe"))</f>
        <v/>
      </c>
    </row>
    <row r="411">
      <c r="A411" s="10" t="inlineStr">
        <is>
          <t>MH-037</t>
        </is>
      </c>
      <c r="B411" s="10" t="inlineStr">
        <is>
          <t>P01</t>
        </is>
      </c>
      <c r="C411" s="10" t="inlineStr"/>
      <c r="D411" s="10" t="inlineStr">
        <is>
          <t>Shimaya Ramen</t>
        </is>
      </c>
      <c r="E411" s="10" t="inlineStr">
        <is>
          <t>EXPLICITO</t>
        </is>
      </c>
      <c r="F411" s="10" t="inlineStr">
        <is>
          <t>Título</t>
        </is>
      </c>
      <c r="G411" s="12">
        <f>IF(B411="","",IFERROR(INDEX(ref_preguntas!$C$2:$C$200,MATCH(B411,ref_preguntas!$A$2:$A$200,0)),"ID no existe"))</f>
        <v/>
      </c>
    </row>
    <row r="412">
      <c r="A412" s="10" t="inlineStr">
        <is>
          <t>MH-037</t>
        </is>
      </c>
      <c r="B412" s="10" t="inlineStr">
        <is>
          <t>P02</t>
        </is>
      </c>
      <c r="C412" s="10" t="inlineStr"/>
      <c r="D412" s="10" t="inlineStr">
        <is>
          <t>Shimaya SJL</t>
        </is>
      </c>
      <c r="E412" s="10" t="inlineStr">
        <is>
          <t>EXPLICITO</t>
        </is>
      </c>
      <c r="F412" s="10" t="inlineStr">
        <is>
          <t>Título</t>
        </is>
      </c>
      <c r="G412" s="12">
        <f>IF(B412="","",IFERROR(INDEX(ref_preguntas!$C$2:$C$200,MATCH(B412,ref_preguntas!$A$2:$A$200,0)),"ID no existe"))</f>
        <v/>
      </c>
    </row>
    <row r="413">
      <c r="A413" s="10" t="inlineStr">
        <is>
          <t>MH-037</t>
        </is>
      </c>
      <c r="B413" s="10" t="inlineStr">
        <is>
          <t>P06</t>
        </is>
      </c>
      <c r="C413" s="10" t="inlineStr"/>
      <c r="D413" s="10" t="inlineStr">
        <is>
          <t>2024-03-16</t>
        </is>
      </c>
      <c r="E413" s="10" t="inlineStr">
        <is>
          <t>EXPLICITO</t>
        </is>
      </c>
      <c r="F413" s="10" t="inlineStr">
        <is>
          <t>Fecha y hora</t>
        </is>
      </c>
      <c r="G413" s="12">
        <f>IF(B413="","",IFERROR(INDEX(ref_preguntas!$C$2:$C$200,MATCH(B413,ref_preguntas!$A$2:$A$200,0)),"ID no existe"))</f>
        <v/>
      </c>
    </row>
    <row r="414">
      <c r="A414" s="10" t="inlineStr">
        <is>
          <t>MH-037</t>
        </is>
      </c>
      <c r="B414" s="10" t="inlineStr">
        <is>
          <t>P09</t>
        </is>
      </c>
      <c r="C414" s="10" t="inlineStr"/>
      <c r="D414" s="10" t="inlineStr">
        <is>
          <t>REST_ORIENTAL</t>
        </is>
      </c>
      <c r="E414" s="10" t="inlineStr">
        <is>
          <t>EXPLICITO</t>
        </is>
      </c>
      <c r="F414" s="10" t="inlineStr">
        <is>
          <t>Rubro confirmado por el equipo (2026-10-10)</t>
        </is>
      </c>
      <c r="G414" s="12">
        <f>IF(B414="","",IFERROR(INDEX(ref_preguntas!$C$2:$C$200,MATCH(B414,ref_preguntas!$A$2:$A$200,0)),"ID no existe"))</f>
        <v/>
      </c>
    </row>
    <row r="415">
      <c r="A415" s="10" t="inlineStr">
        <is>
          <t>MH-037</t>
        </is>
      </c>
      <c r="B415" s="10" t="inlineStr">
        <is>
          <t>P03</t>
        </is>
      </c>
      <c r="C415" s="10" t="inlineStr"/>
      <c r="D415" s="10" t="inlineStr">
        <is>
          <t>Av. Lurigancho 997-999, tienda B-3006, Urb. Zárate Industrial</t>
        </is>
      </c>
      <c r="E415" s="10" t="inlineStr">
        <is>
          <t>EXPLICITO</t>
        </is>
      </c>
      <c r="F415" s="10" t="inlineStr">
        <is>
          <t>Dirección</t>
        </is>
      </c>
      <c r="G415" s="12">
        <f>IF(B415="","",IFERROR(INDEX(ref_preguntas!$C$2:$C$200,MATCH(B415,ref_preguntas!$A$2:$A$200,0)),"ID no existe"))</f>
        <v/>
      </c>
    </row>
    <row r="416">
      <c r="A416" s="10" t="inlineStr">
        <is>
          <t>MH-037</t>
        </is>
      </c>
      <c r="B416" s="10" t="inlineStr">
        <is>
          <t>P04</t>
        </is>
      </c>
      <c r="C416" s="10" t="inlineStr"/>
      <c r="D416" s="10" t="inlineStr">
        <is>
          <t>Alvani</t>
        </is>
      </c>
      <c r="E416" s="10" t="inlineStr">
        <is>
          <t>EXPLICITO</t>
        </is>
      </c>
      <c r="F416" s="10" t="inlineStr">
        <is>
          <t>Team cliente</t>
        </is>
      </c>
      <c r="G416" s="12">
        <f>IF(B416="","",IFERROR(INDEX(ref_preguntas!$C$2:$C$200,MATCH(B416,ref_preguntas!$A$2:$A$200,0)),"ID no existe"))</f>
        <v/>
      </c>
    </row>
    <row r="417">
      <c r="A417" s="10" t="inlineStr">
        <is>
          <t>MH-037</t>
        </is>
      </c>
      <c r="B417" s="10" t="inlineStr">
        <is>
          <t>P12</t>
        </is>
      </c>
      <c r="C417" s="10" t="inlineStr"/>
      <c r="D417" s="10" t="inlineStr">
        <is>
          <t>1</t>
        </is>
      </c>
      <c r="E417" s="10" t="inlineStr">
        <is>
          <t>INFERIDO</t>
        </is>
      </c>
      <c r="F417" s="10" t="inlineStr">
        <is>
          <t>Cajas mencionadas</t>
        </is>
      </c>
      <c r="G417" s="12">
        <f>IF(B417="","",IFERROR(INDEX(ref_preguntas!$C$2:$C$200,MATCH(B417,ref_preguntas!$A$2:$A$200,0)),"ID no existe"))</f>
        <v/>
      </c>
    </row>
    <row r="418">
      <c r="A418" s="10" t="inlineStr">
        <is>
          <t>MH-037</t>
        </is>
      </c>
      <c r="B418" s="10" t="inlineStr">
        <is>
          <t>P13</t>
        </is>
      </c>
      <c r="C418" s="10" t="inlineStr"/>
      <c r="D418" s="10" t="inlineStr">
        <is>
          <t>WIN</t>
        </is>
      </c>
      <c r="E418" s="10" t="inlineStr">
        <is>
          <t>EXPLICITO</t>
        </is>
      </c>
      <c r="F418" s="10" t="inlineStr">
        <is>
          <t>Velocidad / red</t>
        </is>
      </c>
      <c r="G418" s="12">
        <f>IF(B418="","",IFERROR(INDEX(ref_preguntas!$C$2:$C$200,MATCH(B418,ref_preguntas!$A$2:$A$200,0)),"ID no existe"))</f>
        <v/>
      </c>
    </row>
    <row r="419">
      <c r="A419" s="10" t="inlineStr">
        <is>
          <t>MH-037</t>
        </is>
      </c>
      <c r="B419" s="10" t="inlineStr">
        <is>
          <t>P15</t>
        </is>
      </c>
      <c r="C419" s="10" t="inlineStr"/>
      <c r="D419" s="10" t="inlineStr">
        <is>
          <t>400</t>
        </is>
      </c>
      <c r="E419" s="10" t="inlineStr">
        <is>
          <t>EXPLICITO</t>
        </is>
      </c>
      <c r="F419" s="10" t="inlineStr">
        <is>
          <t>Velocidad de internet</t>
        </is>
      </c>
      <c r="G419" s="12">
        <f>IF(B419="","",IFERROR(INDEX(ref_preguntas!$C$2:$C$200,MATCH(B419,ref_preguntas!$A$2:$A$200,0)),"ID no existe"))</f>
        <v/>
      </c>
    </row>
    <row r="420">
      <c r="A420" s="10" t="inlineStr">
        <is>
          <t>MH-037</t>
        </is>
      </c>
      <c r="B420" s="10" t="inlineStr">
        <is>
          <t>P51</t>
        </is>
      </c>
      <c r="C420" s="10" t="inlineStr"/>
      <c r="D420" s="10" t="inlineStr">
        <is>
          <t>ID: Kevin · Cliente: Alvani</t>
        </is>
      </c>
      <c r="E420" s="10" t="inlineStr">
        <is>
          <t>EXPLICITO</t>
        </is>
      </c>
      <c r="F420" s="10" t="inlineStr">
        <is>
          <t>Asistentes</t>
        </is>
      </c>
      <c r="G420" s="12">
        <f>IF(B420="","",IFERROR(INDEX(ref_preguntas!$C$2:$C$200,MATCH(B420,ref_preguntas!$A$2:$A$200,0)),"ID no existe"))</f>
        <v/>
      </c>
    </row>
    <row r="421">
      <c r="A421" s="10" t="inlineStr">
        <is>
          <t>MH-038</t>
        </is>
      </c>
      <c r="B421" s="10" t="inlineStr">
        <is>
          <t>P01</t>
        </is>
      </c>
      <c r="C421" s="10" t="inlineStr"/>
      <c r="D421" s="10" t="inlineStr">
        <is>
          <t>Shimaya Ramen</t>
        </is>
      </c>
      <c r="E421" s="10" t="inlineStr">
        <is>
          <t>EXPLICITO</t>
        </is>
      </c>
      <c r="F421" s="10" t="inlineStr">
        <is>
          <t>Título</t>
        </is>
      </c>
      <c r="G421" s="12">
        <f>IF(B421="","",IFERROR(INDEX(ref_preguntas!$C$2:$C$200,MATCH(B421,ref_preguntas!$A$2:$A$200,0)),"ID no existe"))</f>
        <v/>
      </c>
    </row>
    <row r="422">
      <c r="A422" s="10" t="inlineStr">
        <is>
          <t>MH-038</t>
        </is>
      </c>
      <c r="B422" s="10" t="inlineStr">
        <is>
          <t>P02</t>
        </is>
      </c>
      <c r="C422" s="10" t="inlineStr"/>
      <c r="D422" s="10" t="inlineStr">
        <is>
          <t>Shimaya San Borja</t>
        </is>
      </c>
      <c r="E422" s="10" t="inlineStr">
        <is>
          <t>EXPLICITO</t>
        </is>
      </c>
      <c r="F422" s="10" t="inlineStr">
        <is>
          <t>Título</t>
        </is>
      </c>
      <c r="G422" s="12">
        <f>IF(B422="","",IFERROR(INDEX(ref_preguntas!$C$2:$C$200,MATCH(B422,ref_preguntas!$A$2:$A$200,0)),"ID no existe"))</f>
        <v/>
      </c>
    </row>
    <row r="423">
      <c r="A423" s="10" t="inlineStr">
        <is>
          <t>MH-038</t>
        </is>
      </c>
      <c r="B423" s="10" t="inlineStr">
        <is>
          <t>P06</t>
        </is>
      </c>
      <c r="C423" s="10" t="inlineStr"/>
      <c r="D423" s="10" t="inlineStr">
        <is>
          <t>2024-03-14</t>
        </is>
      </c>
      <c r="E423" s="10" t="inlineStr">
        <is>
          <t>EXPLICITO</t>
        </is>
      </c>
      <c r="F423" s="10" t="inlineStr">
        <is>
          <t>Fecha y hora</t>
        </is>
      </c>
      <c r="G423" s="12">
        <f>IF(B423="","",IFERROR(INDEX(ref_preguntas!$C$2:$C$200,MATCH(B423,ref_preguntas!$A$2:$A$200,0)),"ID no existe"))</f>
        <v/>
      </c>
    </row>
    <row r="424">
      <c r="A424" s="10" t="inlineStr">
        <is>
          <t>MH-038</t>
        </is>
      </c>
      <c r="B424" s="10" t="inlineStr">
        <is>
          <t>P09</t>
        </is>
      </c>
      <c r="C424" s="10" t="inlineStr"/>
      <c r="D424" s="10" t="inlineStr">
        <is>
          <t>REST_ORIENTAL</t>
        </is>
      </c>
      <c r="E424" s="10" t="inlineStr">
        <is>
          <t>EXPLICITO</t>
        </is>
      </c>
      <c r="F424" s="10" t="inlineStr">
        <is>
          <t>Rubro confirmado por el equipo (2026-10-10)</t>
        </is>
      </c>
      <c r="G424" s="12">
        <f>IF(B424="","",IFERROR(INDEX(ref_preguntas!$C$2:$C$200,MATCH(B424,ref_preguntas!$A$2:$A$200,0)),"ID no existe"))</f>
        <v/>
      </c>
    </row>
    <row r="425">
      <c r="A425" s="10" t="inlineStr">
        <is>
          <t>MH-038</t>
        </is>
      </c>
      <c r="B425" s="10" t="inlineStr">
        <is>
          <t>P03</t>
        </is>
      </c>
      <c r="C425" s="10" t="inlineStr"/>
      <c r="D425" s="10" t="inlineStr">
        <is>
          <t>Av. Aviación 3341, San Borja</t>
        </is>
      </c>
      <c r="E425" s="10" t="inlineStr">
        <is>
          <t>EXPLICITO</t>
        </is>
      </c>
      <c r="F425" s="10" t="inlineStr">
        <is>
          <t>Dirección</t>
        </is>
      </c>
      <c r="G425" s="12">
        <f>IF(B425="","",IFERROR(INDEX(ref_preguntas!$C$2:$C$200,MATCH(B425,ref_preguntas!$A$2:$A$200,0)),"ID no existe"))</f>
        <v/>
      </c>
    </row>
    <row r="426">
      <c r="A426" s="10" t="inlineStr">
        <is>
          <t>MH-038</t>
        </is>
      </c>
      <c r="B426" s="10" t="inlineStr">
        <is>
          <t>P04</t>
        </is>
      </c>
      <c r="C426" s="10" t="inlineStr"/>
      <c r="D426" s="10" t="inlineStr">
        <is>
          <t>Daya</t>
        </is>
      </c>
      <c r="E426" s="10" t="inlineStr">
        <is>
          <t>EXPLICITO</t>
        </is>
      </c>
      <c r="F426" s="10" t="inlineStr">
        <is>
          <t>Team cliente</t>
        </is>
      </c>
      <c r="G426" s="12">
        <f>IF(B426="","",IFERROR(INDEX(ref_preguntas!$C$2:$C$200,MATCH(B426,ref_preguntas!$A$2:$A$200,0)),"ID no existe"))</f>
        <v/>
      </c>
    </row>
    <row r="427">
      <c r="A427" s="10" t="inlineStr">
        <is>
          <t>MH-038</t>
        </is>
      </c>
      <c r="B427" s="10" t="inlineStr">
        <is>
          <t>P12</t>
        </is>
      </c>
      <c r="C427" s="10" t="inlineStr"/>
      <c r="D427" s="10" t="inlineStr">
        <is>
          <t>1</t>
        </is>
      </c>
      <c r="E427" s="10" t="inlineStr">
        <is>
          <t>INFERIDO</t>
        </is>
      </c>
      <c r="F427" s="10" t="inlineStr">
        <is>
          <t>Cajas mencionadas</t>
        </is>
      </c>
      <c r="G427" s="12">
        <f>IF(B427="","",IFERROR(INDEX(ref_preguntas!$C$2:$C$200,MATCH(B427,ref_preguntas!$A$2:$A$200,0)),"ID no existe"))</f>
        <v/>
      </c>
    </row>
    <row r="428">
      <c r="A428" s="10" t="inlineStr">
        <is>
          <t>MH-038</t>
        </is>
      </c>
      <c r="B428" s="10" t="inlineStr">
        <is>
          <t>P13</t>
        </is>
      </c>
      <c r="C428" s="10" t="inlineStr"/>
      <c r="D428" s="10" t="inlineStr">
        <is>
          <t>MOVISTAR</t>
        </is>
      </c>
      <c r="E428" s="10" t="inlineStr">
        <is>
          <t>EXPLICITO</t>
        </is>
      </c>
      <c r="F428" s="10" t="inlineStr">
        <is>
          <t>Velocidad / red</t>
        </is>
      </c>
      <c r="G428" s="12">
        <f>IF(B428="","",IFERROR(INDEX(ref_preguntas!$C$2:$C$200,MATCH(B428,ref_preguntas!$A$2:$A$200,0)),"ID no existe"))</f>
        <v/>
      </c>
    </row>
    <row r="429">
      <c r="A429" s="10" t="inlineStr">
        <is>
          <t>MH-038</t>
        </is>
      </c>
      <c r="B429" s="10" t="inlineStr">
        <is>
          <t>P14</t>
        </is>
      </c>
      <c r="C429" s="10" t="inlineStr"/>
      <c r="D429" s="10" t="inlineStr">
        <is>
          <t>FIBRA</t>
        </is>
      </c>
      <c r="E429" s="10" t="inlineStr">
        <is>
          <t>EXPLICITO</t>
        </is>
      </c>
      <c r="F429" s="10" t="inlineStr">
        <is>
          <t>Velocidad / red</t>
        </is>
      </c>
      <c r="G429" s="12">
        <f>IF(B429="","",IFERROR(INDEX(ref_preguntas!$C$2:$C$200,MATCH(B429,ref_preguntas!$A$2:$A$200,0)),"ID no existe"))</f>
        <v/>
      </c>
    </row>
    <row r="430">
      <c r="A430" s="10" t="inlineStr">
        <is>
          <t>MH-038</t>
        </is>
      </c>
      <c r="B430" s="10" t="inlineStr">
        <is>
          <t>P51</t>
        </is>
      </c>
      <c r="C430" s="10" t="inlineStr"/>
      <c r="D430" s="10" t="inlineStr">
        <is>
          <t>ID: Kevin · Cliente: Daya</t>
        </is>
      </c>
      <c r="E430" s="10" t="inlineStr">
        <is>
          <t>EXPLICITO</t>
        </is>
      </c>
      <c r="F430" s="10" t="inlineStr">
        <is>
          <t>Asistentes</t>
        </is>
      </c>
      <c r="G430" s="12">
        <f>IF(B430="","",IFERROR(INDEX(ref_preguntas!$C$2:$C$200,MATCH(B430,ref_preguntas!$A$2:$A$200,0)),"ID no existe"))</f>
        <v/>
      </c>
    </row>
    <row r="431">
      <c r="A431" s="10" t="inlineStr">
        <is>
          <t>MH-039</t>
        </is>
      </c>
      <c r="B431" s="10" t="inlineStr">
        <is>
          <t>P01</t>
        </is>
      </c>
      <c r="C431" s="10" t="inlineStr"/>
      <c r="D431" s="10" t="inlineStr">
        <is>
          <t>Caleta</t>
        </is>
      </c>
      <c r="E431" s="10" t="inlineStr">
        <is>
          <t>EXPLICITO</t>
        </is>
      </c>
      <c r="F431" s="10" t="inlineStr">
        <is>
          <t>Título</t>
        </is>
      </c>
      <c r="G431" s="12">
        <f>IF(B431="","",IFERROR(INDEX(ref_preguntas!$C$2:$C$200,MATCH(B431,ref_preguntas!$A$2:$A$200,0)),"ID no existe"))</f>
        <v/>
      </c>
    </row>
    <row r="432">
      <c r="A432" s="10" t="inlineStr">
        <is>
          <t>MH-039</t>
        </is>
      </c>
      <c r="B432" s="10" t="inlineStr">
        <is>
          <t>P02</t>
        </is>
      </c>
      <c r="C432" s="10" t="inlineStr"/>
      <c r="D432" s="10" t="inlineStr">
        <is>
          <t>Caleta de la Punta – Callao</t>
        </is>
      </c>
      <c r="E432" s="10" t="inlineStr">
        <is>
          <t>EXPLICITO</t>
        </is>
      </c>
      <c r="F432" s="10" t="inlineStr">
        <is>
          <t>Título</t>
        </is>
      </c>
      <c r="G432" s="12">
        <f>IF(B432="","",IFERROR(INDEX(ref_preguntas!$C$2:$C$200,MATCH(B432,ref_preguntas!$A$2:$A$200,0)),"ID no existe"))</f>
        <v/>
      </c>
    </row>
    <row r="433">
      <c r="A433" s="10" t="inlineStr">
        <is>
          <t>MH-039</t>
        </is>
      </c>
      <c r="B433" s="10" t="inlineStr">
        <is>
          <t>P06</t>
        </is>
      </c>
      <c r="C433" s="10" t="inlineStr"/>
      <c r="D433" s="10" t="inlineStr">
        <is>
          <t>2025-05-06</t>
        </is>
      </c>
      <c r="E433" s="10" t="inlineStr">
        <is>
          <t>EXPLICITO</t>
        </is>
      </c>
      <c r="F433" s="10" t="inlineStr">
        <is>
          <t>Fecha y hora</t>
        </is>
      </c>
      <c r="G433" s="12">
        <f>IF(B433="","",IFERROR(INDEX(ref_preguntas!$C$2:$C$200,MATCH(B433,ref_preguntas!$A$2:$A$200,0)),"ID no existe"))</f>
        <v/>
      </c>
    </row>
    <row r="434">
      <c r="A434" s="10" t="inlineStr">
        <is>
          <t>MH-039</t>
        </is>
      </c>
      <c r="B434" s="10" t="inlineStr">
        <is>
          <t>P09</t>
        </is>
      </c>
      <c r="C434" s="10" t="inlineStr"/>
      <c r="D434" s="10" t="inlineStr">
        <is>
          <t>REST_PESCADOS</t>
        </is>
      </c>
      <c r="E434" s="10" t="inlineStr">
        <is>
          <t>EXPLICITO</t>
        </is>
      </c>
      <c r="F434" s="10" t="inlineStr">
        <is>
          <t>Rubro confirmado por el equipo (2026-10-10)</t>
        </is>
      </c>
      <c r="G434" s="12">
        <f>IF(B434="","",IFERROR(INDEX(ref_preguntas!$C$2:$C$200,MATCH(B434,ref_preguntas!$A$2:$A$200,0)),"ID no existe"))</f>
        <v/>
      </c>
    </row>
    <row r="435">
      <c r="A435" s="10" t="inlineStr">
        <is>
          <t>MH-039</t>
        </is>
      </c>
      <c r="B435" s="10" t="inlineStr">
        <is>
          <t>P03</t>
        </is>
      </c>
      <c r="C435" s="10" t="inlineStr"/>
      <c r="D435" s="10" t="inlineStr">
        <is>
          <t>Malecón Pardo 180, La Punta 07021</t>
        </is>
      </c>
      <c r="E435" s="10" t="inlineStr">
        <is>
          <t>EXPLICITO</t>
        </is>
      </c>
      <c r="F435" s="10" t="inlineStr">
        <is>
          <t>Dirección</t>
        </is>
      </c>
      <c r="G435" s="12">
        <f>IF(B435="","",IFERROR(INDEX(ref_preguntas!$C$2:$C$200,MATCH(B435,ref_preguntas!$A$2:$A$200,0)),"ID no existe"))</f>
        <v/>
      </c>
    </row>
    <row r="436">
      <c r="A436" s="10" t="inlineStr">
        <is>
          <t>MH-039</t>
        </is>
      </c>
      <c r="B436" s="10" t="inlineStr">
        <is>
          <t>P04</t>
        </is>
      </c>
      <c r="C436" s="10" t="inlineStr"/>
      <c r="D436" s="10" t="inlineStr">
        <is>
          <t>Briggitte, Andrea</t>
        </is>
      </c>
      <c r="E436" s="10" t="inlineStr">
        <is>
          <t>EXPLICITO</t>
        </is>
      </c>
      <c r="F436" s="10" t="inlineStr">
        <is>
          <t>Team cliente</t>
        </is>
      </c>
      <c r="G436" s="12">
        <f>IF(B436="","",IFERROR(INDEX(ref_preguntas!$C$2:$C$200,MATCH(B436,ref_preguntas!$A$2:$A$200,0)),"ID no existe"))</f>
        <v/>
      </c>
    </row>
    <row r="437">
      <c r="A437" s="10" t="inlineStr">
        <is>
          <t>MH-039</t>
        </is>
      </c>
      <c r="B437" s="10" t="inlineStr">
        <is>
          <t>P12</t>
        </is>
      </c>
      <c r="C437" s="10" t="inlineStr"/>
      <c r="D437" s="10" t="inlineStr">
        <is>
          <t>2</t>
        </is>
      </c>
      <c r="E437" s="10" t="inlineStr">
        <is>
          <t>INFERIDO</t>
        </is>
      </c>
      <c r="F437" s="10" t="inlineStr">
        <is>
          <t>Cajas mencionadas</t>
        </is>
      </c>
      <c r="G437" s="12">
        <f>IF(B437="","",IFERROR(INDEX(ref_preguntas!$C$2:$C$200,MATCH(B437,ref_preguntas!$A$2:$A$200,0)),"ID no existe"))</f>
        <v/>
      </c>
    </row>
    <row r="438">
      <c r="A438" s="10" t="inlineStr">
        <is>
          <t>MH-039</t>
        </is>
      </c>
      <c r="B438" s="10" t="inlineStr">
        <is>
          <t>P13</t>
        </is>
      </c>
      <c r="C438" s="10" t="inlineStr"/>
      <c r="D438" s="10" t="inlineStr">
        <is>
          <t>WIN</t>
        </is>
      </c>
      <c r="E438" s="10" t="inlineStr">
        <is>
          <t>EXPLICITO</t>
        </is>
      </c>
      <c r="F438" s="10" t="inlineStr">
        <is>
          <t>Velocidad / red</t>
        </is>
      </c>
      <c r="G438" s="12">
        <f>IF(B438="","",IFERROR(INDEX(ref_preguntas!$C$2:$C$200,MATCH(B438,ref_preguntas!$A$2:$A$200,0)),"ID no existe"))</f>
        <v/>
      </c>
    </row>
    <row r="439">
      <c r="A439" s="10" t="inlineStr">
        <is>
          <t>MH-039</t>
        </is>
      </c>
      <c r="B439" s="10" t="inlineStr">
        <is>
          <t>P15</t>
        </is>
      </c>
      <c r="C439" s="10" t="inlineStr"/>
      <c r="D439" s="10" t="inlineStr">
        <is>
          <t>100</t>
        </is>
      </c>
      <c r="E439" s="10" t="inlineStr">
        <is>
          <t>EXPLICITO</t>
        </is>
      </c>
      <c r="F439" s="10" t="inlineStr">
        <is>
          <t>Velocidad de internet</t>
        </is>
      </c>
      <c r="G439" s="12">
        <f>IF(B439="","",IFERROR(INDEX(ref_preguntas!$C$2:$C$200,MATCH(B439,ref_preguntas!$A$2:$A$200,0)),"ID no existe"))</f>
        <v/>
      </c>
    </row>
    <row r="440">
      <c r="A440" s="10" t="inlineStr">
        <is>
          <t>MH-039</t>
        </is>
      </c>
      <c r="B440" s="10" t="inlineStr">
        <is>
          <t>P51</t>
        </is>
      </c>
      <c r="C440" s="10" t="inlineStr"/>
      <c r="D440" s="10" t="inlineStr">
        <is>
          <t>ID: Kevin · Cliente: Briggitte, Andrea</t>
        </is>
      </c>
      <c r="E440" s="10" t="inlineStr">
        <is>
          <t>EXPLICITO</t>
        </is>
      </c>
      <c r="F440" s="10" t="inlineStr">
        <is>
          <t>Asistentes</t>
        </is>
      </c>
      <c r="G440" s="12">
        <f>IF(B440="","",IFERROR(INDEX(ref_preguntas!$C$2:$C$200,MATCH(B440,ref_preguntas!$A$2:$A$200,0)),"ID no existe"))</f>
        <v/>
      </c>
    </row>
    <row r="441">
      <c r="A441" s="10" t="inlineStr">
        <is>
          <t>MH-040</t>
        </is>
      </c>
      <c r="B441" s="10" t="inlineStr">
        <is>
          <t>P01</t>
        </is>
      </c>
      <c r="C441" s="10" t="inlineStr"/>
      <c r="D441" s="10" t="inlineStr">
        <is>
          <t>Don Chalán</t>
        </is>
      </c>
      <c r="E441" s="10" t="inlineStr">
        <is>
          <t>EXPLICITO</t>
        </is>
      </c>
      <c r="F441" s="10" t="inlineStr">
        <is>
          <t>Título</t>
        </is>
      </c>
      <c r="G441" s="12">
        <f>IF(B441="","",IFERROR(INDEX(ref_preguntas!$C$2:$C$200,MATCH(B441,ref_preguntas!$A$2:$A$200,0)),"ID no existe"))</f>
        <v/>
      </c>
    </row>
    <row r="442">
      <c r="A442" s="10" t="inlineStr">
        <is>
          <t>MH-040</t>
        </is>
      </c>
      <c r="B442" s="10" t="inlineStr">
        <is>
          <t>P02</t>
        </is>
      </c>
      <c r="C442" s="10" t="inlineStr"/>
      <c r="D442" s="10" t="inlineStr">
        <is>
          <t>Don Chalán Unicachi – PRO</t>
        </is>
      </c>
      <c r="E442" s="10" t="inlineStr">
        <is>
          <t>EXPLICITO</t>
        </is>
      </c>
      <c r="F442" s="10" t="inlineStr">
        <is>
          <t>Título</t>
        </is>
      </c>
      <c r="G442" s="12">
        <f>IF(B442="","",IFERROR(INDEX(ref_preguntas!$C$2:$C$200,MATCH(B442,ref_preguntas!$A$2:$A$200,0)),"ID no existe"))</f>
        <v/>
      </c>
    </row>
    <row r="443">
      <c r="A443" s="10" t="inlineStr">
        <is>
          <t>MH-040</t>
        </is>
      </c>
      <c r="B443" s="10" t="inlineStr">
        <is>
          <t>P06</t>
        </is>
      </c>
      <c r="C443" s="10" t="inlineStr"/>
      <c r="D443" s="10" t="inlineStr">
        <is>
          <t>2024-03-07</t>
        </is>
      </c>
      <c r="E443" s="10" t="inlineStr">
        <is>
          <t>EXPLICITO</t>
        </is>
      </c>
      <c r="F443" s="10" t="inlineStr">
        <is>
          <t>Fecha y hora</t>
        </is>
      </c>
      <c r="G443" s="12">
        <f>IF(B443="","",IFERROR(INDEX(ref_preguntas!$C$2:$C$200,MATCH(B443,ref_preguntas!$A$2:$A$200,0)),"ID no existe"))</f>
        <v/>
      </c>
    </row>
    <row r="444">
      <c r="A444" s="10" t="inlineStr">
        <is>
          <t>MH-040</t>
        </is>
      </c>
      <c r="B444" s="10" t="inlineStr">
        <is>
          <t>P09</t>
        </is>
      </c>
      <c r="C444" s="10" t="inlineStr"/>
      <c r="D444" s="10" t="inlineStr">
        <is>
          <t>REST_PESCADOS</t>
        </is>
      </c>
      <c r="E444" s="10" t="inlineStr">
        <is>
          <t>EXPLICITO</t>
        </is>
      </c>
      <c r="F444" s="10" t="inlineStr">
        <is>
          <t>Rubro confirmado por el equipo (2026-10-10)</t>
        </is>
      </c>
      <c r="G444" s="12">
        <f>IF(B444="","",IFERROR(INDEX(ref_preguntas!$C$2:$C$200,MATCH(B444,ref_preguntas!$A$2:$A$200,0)),"ID no existe"))</f>
        <v/>
      </c>
    </row>
    <row r="445">
      <c r="A445" s="10" t="inlineStr">
        <is>
          <t>MH-040</t>
        </is>
      </c>
      <c r="B445" s="10" t="inlineStr">
        <is>
          <t>P03</t>
        </is>
      </c>
      <c r="C445" s="10" t="inlineStr"/>
      <c r="D445" s="10" t="inlineStr">
        <is>
          <t>Unicachi PRO</t>
        </is>
      </c>
      <c r="E445" s="10" t="inlineStr">
        <is>
          <t>EXPLICITO</t>
        </is>
      </c>
      <c r="F445" s="10" t="inlineStr">
        <is>
          <t>Dirección</t>
        </is>
      </c>
      <c r="G445" s="12">
        <f>IF(B445="","",IFERROR(INDEX(ref_preguntas!$C$2:$C$200,MATCH(B445,ref_preguntas!$A$2:$A$200,0)),"ID no existe"))</f>
        <v/>
      </c>
    </row>
    <row r="446">
      <c r="A446" s="10" t="inlineStr">
        <is>
          <t>MH-040</t>
        </is>
      </c>
      <c r="B446" s="10" t="inlineStr">
        <is>
          <t>P04</t>
        </is>
      </c>
      <c r="C446" s="10" t="inlineStr"/>
      <c r="D446" s="10" t="inlineStr">
        <is>
          <t>Don Chalán</t>
        </is>
      </c>
      <c r="E446" s="10" t="inlineStr">
        <is>
          <t>EXPLICITO</t>
        </is>
      </c>
      <c r="F446" s="10" t="inlineStr">
        <is>
          <t>Team cliente</t>
        </is>
      </c>
      <c r="G446" s="12">
        <f>IF(B446="","",IFERROR(INDEX(ref_preguntas!$C$2:$C$200,MATCH(B446,ref_preguntas!$A$2:$A$200,0)),"ID no existe"))</f>
        <v/>
      </c>
    </row>
    <row r="447">
      <c r="A447" s="10" t="inlineStr">
        <is>
          <t>MH-040</t>
        </is>
      </c>
      <c r="B447" s="10" t="inlineStr">
        <is>
          <t>P12</t>
        </is>
      </c>
      <c r="C447" s="10" t="inlineStr"/>
      <c r="D447" s="10" t="inlineStr">
        <is>
          <t>1</t>
        </is>
      </c>
      <c r="E447" s="10" t="inlineStr">
        <is>
          <t>INFERIDO</t>
        </is>
      </c>
      <c r="F447" s="10" t="inlineStr">
        <is>
          <t>Cajas mencionadas</t>
        </is>
      </c>
      <c r="G447" s="12">
        <f>IF(B447="","",IFERROR(INDEX(ref_preguntas!$C$2:$C$200,MATCH(B447,ref_preguntas!$A$2:$A$200,0)),"ID no existe"))</f>
        <v/>
      </c>
    </row>
    <row r="448">
      <c r="A448" s="10" t="inlineStr">
        <is>
          <t>MH-040</t>
        </is>
      </c>
      <c r="B448" s="10" t="inlineStr">
        <is>
          <t>P13</t>
        </is>
      </c>
      <c r="C448" s="10" t="inlineStr"/>
      <c r="D448" s="10" t="inlineStr">
        <is>
          <t>WIN</t>
        </is>
      </c>
      <c r="E448" s="10" t="inlineStr">
        <is>
          <t>EXPLICITO</t>
        </is>
      </c>
      <c r="F448" s="10" t="inlineStr">
        <is>
          <t>Velocidad / red</t>
        </is>
      </c>
      <c r="G448" s="12">
        <f>IF(B448="","",IFERROR(INDEX(ref_preguntas!$C$2:$C$200,MATCH(B448,ref_preguntas!$A$2:$A$200,0)),"ID no existe"))</f>
        <v/>
      </c>
    </row>
    <row r="449">
      <c r="A449" s="10" t="inlineStr">
        <is>
          <t>MH-040</t>
        </is>
      </c>
      <c r="B449" s="10" t="inlineStr">
        <is>
          <t>P14</t>
        </is>
      </c>
      <c r="C449" s="10" t="inlineStr"/>
      <c r="D449" s="10" t="inlineStr">
        <is>
          <t>FIBRA</t>
        </is>
      </c>
      <c r="E449" s="10" t="inlineStr">
        <is>
          <t>EXPLICITO</t>
        </is>
      </c>
      <c r="F449" s="10" t="inlineStr">
        <is>
          <t>Velocidad / red</t>
        </is>
      </c>
      <c r="G449" s="12">
        <f>IF(B449="","",IFERROR(INDEX(ref_preguntas!$C$2:$C$200,MATCH(B449,ref_preguntas!$A$2:$A$200,0)),"ID no existe"))</f>
        <v/>
      </c>
    </row>
    <row r="450">
      <c r="A450" s="10" t="inlineStr">
        <is>
          <t>MH-040</t>
        </is>
      </c>
      <c r="B450" s="10" t="inlineStr">
        <is>
          <t>P51</t>
        </is>
      </c>
      <c r="C450" s="10" t="inlineStr"/>
      <c r="D450" s="10" t="inlineStr">
        <is>
          <t>ID: Nelson Luque · Cliente: Don Chalán</t>
        </is>
      </c>
      <c r="E450" s="10" t="inlineStr">
        <is>
          <t>EXPLICITO</t>
        </is>
      </c>
      <c r="F450" s="10" t="inlineStr">
        <is>
          <t>Asistentes</t>
        </is>
      </c>
      <c r="G450" s="12">
        <f>IF(B450="","",IFERROR(INDEX(ref_preguntas!$C$2:$C$200,MATCH(B450,ref_preguntas!$A$2:$A$200,0)),"ID no existe"))</f>
        <v/>
      </c>
    </row>
    <row r="451">
      <c r="A451" s="10" t="inlineStr">
        <is>
          <t>MH-041</t>
        </is>
      </c>
      <c r="B451" s="10" t="inlineStr">
        <is>
          <t>P01</t>
        </is>
      </c>
      <c r="C451" s="10" t="inlineStr"/>
      <c r="D451" s="10" t="inlineStr">
        <is>
          <t>Soma</t>
        </is>
      </c>
      <c r="E451" s="10" t="inlineStr">
        <is>
          <t>EXPLICITO</t>
        </is>
      </c>
      <c r="F451" s="10" t="inlineStr">
        <is>
          <t>Título</t>
        </is>
      </c>
      <c r="G451" s="12">
        <f>IF(B451="","",IFERROR(INDEX(ref_preguntas!$C$2:$C$200,MATCH(B451,ref_preguntas!$A$2:$A$200,0)),"ID no existe"))</f>
        <v/>
      </c>
    </row>
    <row r="452">
      <c r="A452" s="10" t="inlineStr">
        <is>
          <t>MH-041</t>
        </is>
      </c>
      <c r="B452" s="10" t="inlineStr">
        <is>
          <t>P02</t>
        </is>
      </c>
      <c r="C452" s="10" t="inlineStr"/>
      <c r="D452" s="10" t="inlineStr">
        <is>
          <t>Soma (El Refugio)</t>
        </is>
      </c>
      <c r="E452" s="10" t="inlineStr">
        <is>
          <t>EXPLICITO</t>
        </is>
      </c>
      <c r="F452" s="10" t="inlineStr">
        <is>
          <t>Título</t>
        </is>
      </c>
      <c r="G452" s="12">
        <f>IF(B452="","",IFERROR(INDEX(ref_preguntas!$C$2:$C$200,MATCH(B452,ref_preguntas!$A$2:$A$200,0)),"ID no existe"))</f>
        <v/>
      </c>
    </row>
    <row r="453">
      <c r="A453" s="10" t="inlineStr">
        <is>
          <t>MH-041</t>
        </is>
      </c>
      <c r="B453" s="10" t="inlineStr">
        <is>
          <t>P06</t>
        </is>
      </c>
      <c r="C453" s="10" t="inlineStr"/>
      <c r="D453" s="10" t="inlineStr">
        <is>
          <t>2025-09-12</t>
        </is>
      </c>
      <c r="E453" s="10" t="inlineStr">
        <is>
          <t>EXPLICITO</t>
        </is>
      </c>
      <c r="F453" s="10" t="inlineStr">
        <is>
          <t>Fecha y hora</t>
        </is>
      </c>
      <c r="G453" s="12">
        <f>IF(B453="","",IFERROR(INDEX(ref_preguntas!$C$2:$C$200,MATCH(B453,ref_preguntas!$A$2:$A$200,0)),"ID no existe"))</f>
        <v/>
      </c>
    </row>
    <row r="454">
      <c r="A454" s="10" t="inlineStr">
        <is>
          <t>MH-041</t>
        </is>
      </c>
      <c r="B454" s="10" t="inlineStr">
        <is>
          <t>P09</t>
        </is>
      </c>
      <c r="C454" s="10" t="inlineStr"/>
      <c r="D454" s="10" t="inlineStr">
        <is>
          <t>DISCOTECA_BAR</t>
        </is>
      </c>
      <c r="E454" s="10" t="inlineStr">
        <is>
          <t>EXPLICITO</t>
        </is>
      </c>
      <c r="F454" s="10" t="inlineStr">
        <is>
          <t>Rubro confirmado por el equipo (2026-10-10)</t>
        </is>
      </c>
      <c r="G454" s="12">
        <f>IF(B454="","",IFERROR(INDEX(ref_preguntas!$C$2:$C$200,MATCH(B454,ref_preguntas!$A$2:$A$200,0)),"ID no existe"))</f>
        <v/>
      </c>
    </row>
    <row r="455">
      <c r="A455" s="10" t="inlineStr">
        <is>
          <t>MH-041</t>
        </is>
      </c>
      <c r="B455" s="10" t="inlineStr">
        <is>
          <t>P03</t>
        </is>
      </c>
      <c r="C455" s="10" t="inlineStr"/>
      <c r="D455" s="10" t="inlineStr">
        <is>
          <t>Av. Manuel Olguín 100, Santiago de Surco 15023</t>
        </is>
      </c>
      <c r="E455" s="10" t="inlineStr">
        <is>
          <t>EXPLICITO</t>
        </is>
      </c>
      <c r="F455" s="10" t="inlineStr">
        <is>
          <t>Dirección</t>
        </is>
      </c>
      <c r="G455" s="12">
        <f>IF(B455="","",IFERROR(INDEX(ref_preguntas!$C$2:$C$200,MATCH(B455,ref_preguntas!$A$2:$A$200,0)),"ID no existe"))</f>
        <v/>
      </c>
    </row>
    <row r="456">
      <c r="A456" s="10" t="inlineStr">
        <is>
          <t>MH-041</t>
        </is>
      </c>
      <c r="B456" s="10" t="inlineStr">
        <is>
          <t>P14</t>
        </is>
      </c>
      <c r="C456" s="10" t="inlineStr"/>
      <c r="D456" s="10" t="inlineStr">
        <is>
          <t>NO_TIENE</t>
        </is>
      </c>
      <c r="E456" s="10" t="inlineStr">
        <is>
          <t>EXPLICITO</t>
        </is>
      </c>
      <c r="F456" s="10" t="inlineStr">
        <is>
          <t>Velocidad / red</t>
        </is>
      </c>
      <c r="G456" s="12">
        <f>IF(B456="","",IFERROR(INDEX(ref_preguntas!$C$2:$C$200,MATCH(B456,ref_preguntas!$A$2:$A$200,0)),"ID no existe"))</f>
        <v/>
      </c>
    </row>
    <row r="457">
      <c r="A457" s="10" t="inlineStr">
        <is>
          <t>MH-041</t>
        </is>
      </c>
      <c r="B457" s="10" t="inlineStr">
        <is>
          <t>P51</t>
        </is>
      </c>
      <c r="C457" s="10" t="inlineStr"/>
      <c r="D457" s="10" t="inlineStr">
        <is>
          <t>ID: Leonardo Espejo · Cliente: —</t>
        </is>
      </c>
      <c r="E457" s="10" t="inlineStr">
        <is>
          <t>EXPLICITO</t>
        </is>
      </c>
      <c r="F457" s="10" t="inlineStr">
        <is>
          <t>Asistentes</t>
        </is>
      </c>
      <c r="G457" s="12">
        <f>IF(B457="","",IFERROR(INDEX(ref_preguntas!$C$2:$C$200,MATCH(B457,ref_preguntas!$A$2:$A$200,0)),"ID no existe"))</f>
        <v/>
      </c>
    </row>
    <row r="458">
      <c r="A458" s="10" t="inlineStr">
        <is>
          <t>MH-042</t>
        </is>
      </c>
      <c r="B458" s="10" t="inlineStr">
        <is>
          <t>P01</t>
        </is>
      </c>
      <c r="C458" s="10" t="inlineStr"/>
      <c r="D458" s="10" t="inlineStr">
        <is>
          <t>Belgofre</t>
        </is>
      </c>
      <c r="E458" s="10" t="inlineStr">
        <is>
          <t>EXPLICITO</t>
        </is>
      </c>
      <c r="F458" s="10" t="inlineStr">
        <is>
          <t>Título</t>
        </is>
      </c>
      <c r="G458" s="12">
        <f>IF(B458="","",IFERROR(INDEX(ref_preguntas!$C$2:$C$200,MATCH(B458,ref_preguntas!$A$2:$A$200,0)),"ID no existe"))</f>
        <v/>
      </c>
    </row>
    <row r="459">
      <c r="A459" s="10" t="inlineStr">
        <is>
          <t>MH-042</t>
        </is>
      </c>
      <c r="B459" s="10" t="inlineStr">
        <is>
          <t>P02</t>
        </is>
      </c>
      <c r="C459" s="10" t="inlineStr"/>
      <c r="D459" s="10" t="inlineStr">
        <is>
          <t>Belgofre Javier Prado</t>
        </is>
      </c>
      <c r="E459" s="10" t="inlineStr">
        <is>
          <t>EXPLICITO</t>
        </is>
      </c>
      <c r="F459" s="10" t="inlineStr">
        <is>
          <t>Título</t>
        </is>
      </c>
      <c r="G459" s="12">
        <f>IF(B459="","",IFERROR(INDEX(ref_preguntas!$C$2:$C$200,MATCH(B459,ref_preguntas!$A$2:$A$200,0)),"ID no existe"))</f>
        <v/>
      </c>
    </row>
    <row r="460">
      <c r="A460" s="10" t="inlineStr">
        <is>
          <t>MH-042</t>
        </is>
      </c>
      <c r="B460" s="10" t="inlineStr">
        <is>
          <t>P06</t>
        </is>
      </c>
      <c r="C460" s="10" t="inlineStr"/>
      <c r="D460" s="10" t="inlineStr">
        <is>
          <t>2025-04-01</t>
        </is>
      </c>
      <c r="E460" s="10" t="inlineStr">
        <is>
          <t>EXPLICITO</t>
        </is>
      </c>
      <c r="F460" s="10" t="inlineStr">
        <is>
          <t>Fecha y hora</t>
        </is>
      </c>
      <c r="G460" s="12">
        <f>IF(B460="","",IFERROR(INDEX(ref_preguntas!$C$2:$C$200,MATCH(B460,ref_preguntas!$A$2:$A$200,0)),"ID no existe"))</f>
        <v/>
      </c>
    </row>
    <row r="461">
      <c r="A461" s="10" t="inlineStr">
        <is>
          <t>MH-042</t>
        </is>
      </c>
      <c r="B461" s="10" t="inlineStr">
        <is>
          <t>P09</t>
        </is>
      </c>
      <c r="C461" s="10" t="inlineStr"/>
      <c r="D461" s="10" t="inlineStr">
        <is>
          <t>FAST_FOOD</t>
        </is>
      </c>
      <c r="E461" s="10" t="inlineStr">
        <is>
          <t>EXPLICITO</t>
        </is>
      </c>
      <c r="F461" s="10" t="inlineStr">
        <is>
          <t>Rubro confirmado por el equipo (2026-10-10)</t>
        </is>
      </c>
      <c r="G461" s="12">
        <f>IF(B461="","",IFERROR(INDEX(ref_preguntas!$C$2:$C$200,MATCH(B461,ref_preguntas!$A$2:$A$200,0)),"ID no existe"))</f>
        <v/>
      </c>
    </row>
    <row r="462">
      <c r="A462" s="10" t="inlineStr">
        <is>
          <t>MH-042</t>
        </is>
      </c>
      <c r="B462" s="10" t="inlineStr">
        <is>
          <t>P04</t>
        </is>
      </c>
      <c r="C462" s="10" t="inlineStr"/>
      <c r="D462" s="10" t="inlineStr">
        <is>
          <t>Belgofre</t>
        </is>
      </c>
      <c r="E462" s="10" t="inlineStr">
        <is>
          <t>EXPLICITO</t>
        </is>
      </c>
      <c r="F462" s="10" t="inlineStr">
        <is>
          <t>Team cliente</t>
        </is>
      </c>
      <c r="G462" s="12">
        <f>IF(B462="","",IFERROR(INDEX(ref_preguntas!$C$2:$C$200,MATCH(B462,ref_preguntas!$A$2:$A$200,0)),"ID no existe"))</f>
        <v/>
      </c>
    </row>
    <row r="463">
      <c r="A463" s="10" t="inlineStr">
        <is>
          <t>MH-042</t>
        </is>
      </c>
      <c r="B463" s="10" t="inlineStr">
        <is>
          <t>P12</t>
        </is>
      </c>
      <c r="C463" s="10" t="inlineStr"/>
      <c r="D463" s="10" t="inlineStr">
        <is>
          <t>1</t>
        </is>
      </c>
      <c r="E463" s="10" t="inlineStr">
        <is>
          <t>INFERIDO</t>
        </is>
      </c>
      <c r="F463" s="10" t="inlineStr">
        <is>
          <t>Cajas mencionadas</t>
        </is>
      </c>
      <c r="G463" s="12">
        <f>IF(B463="","",IFERROR(INDEX(ref_preguntas!$C$2:$C$200,MATCH(B463,ref_preguntas!$A$2:$A$200,0)),"ID no existe"))</f>
        <v/>
      </c>
    </row>
    <row r="464">
      <c r="A464" s="10" t="inlineStr">
        <is>
          <t>MH-042</t>
        </is>
      </c>
      <c r="B464" s="10" t="inlineStr">
        <is>
          <t>P51</t>
        </is>
      </c>
      <c r="C464" s="10" t="inlineStr"/>
      <c r="D464" s="10" t="inlineStr">
        <is>
          <t>ID: Marco · Cliente: Belgofre</t>
        </is>
      </c>
      <c r="E464" s="10" t="inlineStr">
        <is>
          <t>EXPLICITO</t>
        </is>
      </c>
      <c r="F464" s="10" t="inlineStr">
        <is>
          <t>Asistentes</t>
        </is>
      </c>
      <c r="G464" s="12">
        <f>IF(B464="","",IFERROR(INDEX(ref_preguntas!$C$2:$C$200,MATCH(B464,ref_preguntas!$A$2:$A$200,0)),"ID no existe"))</f>
        <v/>
      </c>
    </row>
    <row r="465">
      <c r="A465" s="10" t="inlineStr">
        <is>
          <t>MH-043</t>
        </is>
      </c>
      <c r="B465" s="10" t="inlineStr">
        <is>
          <t>P01</t>
        </is>
      </c>
      <c r="C465" s="10" t="inlineStr"/>
      <c r="D465" s="10" t="inlineStr">
        <is>
          <t>Flora y Fauna</t>
        </is>
      </c>
      <c r="E465" s="10" t="inlineStr">
        <is>
          <t>EXPLICITO</t>
        </is>
      </c>
      <c r="F465" s="10" t="inlineStr">
        <is>
          <t>Título</t>
        </is>
      </c>
      <c r="G465" s="12">
        <f>IF(B465="","",IFERROR(INDEX(ref_preguntas!$C$2:$C$200,MATCH(B465,ref_preguntas!$A$2:$A$200,0)),"ID no existe"))</f>
        <v/>
      </c>
    </row>
    <row r="466">
      <c r="A466" s="10" t="inlineStr">
        <is>
          <t>MH-043</t>
        </is>
      </c>
      <c r="B466" s="10" t="inlineStr">
        <is>
          <t>P02</t>
        </is>
      </c>
      <c r="C466" s="10" t="inlineStr"/>
      <c r="D466" s="10" t="inlineStr">
        <is>
          <t>Flora y Fauna San Miguel</t>
        </is>
      </c>
      <c r="E466" s="10" t="inlineStr">
        <is>
          <t>EXPLICITO</t>
        </is>
      </c>
      <c r="F466" s="10" t="inlineStr">
        <is>
          <t>Título</t>
        </is>
      </c>
      <c r="G466" s="12">
        <f>IF(B466="","",IFERROR(INDEX(ref_preguntas!$C$2:$C$200,MATCH(B466,ref_preguntas!$A$2:$A$200,0)),"ID no existe"))</f>
        <v/>
      </c>
    </row>
    <row r="467">
      <c r="A467" s="10" t="inlineStr">
        <is>
          <t>MH-043</t>
        </is>
      </c>
      <c r="B467" s="10" t="inlineStr">
        <is>
          <t>P06</t>
        </is>
      </c>
      <c r="C467" s="10" t="inlineStr"/>
      <c r="D467" s="10" t="inlineStr">
        <is>
          <t>2026-06-25</t>
        </is>
      </c>
      <c r="E467" s="10" t="inlineStr">
        <is>
          <t>EXPLICITO</t>
        </is>
      </c>
      <c r="F467" s="10" t="inlineStr">
        <is>
          <t>Fecha y hora</t>
        </is>
      </c>
      <c r="G467" s="12">
        <f>IF(B467="","",IFERROR(INDEX(ref_preguntas!$C$2:$C$200,MATCH(B467,ref_preguntas!$A$2:$A$200,0)),"ID no existe"))</f>
        <v/>
      </c>
    </row>
    <row r="468">
      <c r="A468" s="10" t="inlineStr">
        <is>
          <t>MH-043</t>
        </is>
      </c>
      <c r="B468" s="10" t="inlineStr">
        <is>
          <t>P09</t>
        </is>
      </c>
      <c r="C468" s="10" t="inlineStr"/>
      <c r="D468" s="10" t="inlineStr">
        <is>
          <t>RETAIL</t>
        </is>
      </c>
      <c r="E468" s="10" t="inlineStr">
        <is>
          <t>EXPLICITO</t>
        </is>
      </c>
      <c r="F468" s="10" t="inlineStr">
        <is>
          <t>Rubro confirmado por el equipo (2026-10-10)</t>
        </is>
      </c>
      <c r="G468" s="12">
        <f>IF(B468="","",IFERROR(INDEX(ref_preguntas!$C$2:$C$200,MATCH(B468,ref_preguntas!$A$2:$A$200,0)),"ID no existe"))</f>
        <v/>
      </c>
    </row>
    <row r="469">
      <c r="A469" s="10" t="inlineStr">
        <is>
          <t>MH-043</t>
        </is>
      </c>
      <c r="B469" s="10" t="inlineStr">
        <is>
          <t>P03</t>
        </is>
      </c>
      <c r="C469" s="10" t="inlineStr"/>
      <c r="D469" s="10" t="inlineStr">
        <is>
          <t>San Miguel</t>
        </is>
      </c>
      <c r="E469" s="10" t="inlineStr">
        <is>
          <t>EXPLICITO</t>
        </is>
      </c>
      <c r="F469" s="10" t="inlineStr">
        <is>
          <t>Dirección</t>
        </is>
      </c>
      <c r="G469" s="12">
        <f>IF(B469="","",IFERROR(INDEX(ref_preguntas!$C$2:$C$200,MATCH(B469,ref_preguntas!$A$2:$A$200,0)),"ID no existe"))</f>
        <v/>
      </c>
    </row>
    <row r="470">
      <c r="A470" s="10" t="inlineStr">
        <is>
          <t>MH-043</t>
        </is>
      </c>
      <c r="B470" s="10" t="inlineStr">
        <is>
          <t>P04</t>
        </is>
      </c>
      <c r="C470" s="10" t="inlineStr"/>
      <c r="D470" s="10" t="inlineStr">
        <is>
          <t>Pedro Ly</t>
        </is>
      </c>
      <c r="E470" s="10" t="inlineStr">
        <is>
          <t>EXPLICITO</t>
        </is>
      </c>
      <c r="F470" s="10" t="inlineStr">
        <is>
          <t>Team cliente</t>
        </is>
      </c>
      <c r="G470" s="12">
        <f>IF(B470="","",IFERROR(INDEX(ref_preguntas!$C$2:$C$200,MATCH(B470,ref_preguntas!$A$2:$A$200,0)),"ID no existe"))</f>
        <v/>
      </c>
    </row>
    <row r="471">
      <c r="A471" s="10" t="inlineStr">
        <is>
          <t>MH-043</t>
        </is>
      </c>
      <c r="B471" s="10" t="inlineStr">
        <is>
          <t>P12</t>
        </is>
      </c>
      <c r="C471" s="10" t="inlineStr"/>
      <c r="D471" s="10" t="inlineStr">
        <is>
          <t>2</t>
        </is>
      </c>
      <c r="E471" s="10" t="inlineStr">
        <is>
          <t>INFERIDO</t>
        </is>
      </c>
      <c r="F471" s="10" t="inlineStr">
        <is>
          <t>Cajas mencionadas</t>
        </is>
      </c>
      <c r="G471" s="12">
        <f>IF(B471="","",IFERROR(INDEX(ref_preguntas!$C$2:$C$200,MATCH(B471,ref_preguntas!$A$2:$A$200,0)),"ID no existe"))</f>
        <v/>
      </c>
    </row>
    <row r="472">
      <c r="A472" s="10" t="inlineStr">
        <is>
          <t>MH-043</t>
        </is>
      </c>
      <c r="B472" s="10" t="inlineStr">
        <is>
          <t>P51</t>
        </is>
      </c>
      <c r="C472" s="10" t="inlineStr"/>
      <c r="D472" s="10" t="inlineStr">
        <is>
          <t>ID: — · Cliente: Pedro Ly</t>
        </is>
      </c>
      <c r="E472" s="10" t="inlineStr">
        <is>
          <t>EXPLICITO</t>
        </is>
      </c>
      <c r="F472" s="10" t="inlineStr">
        <is>
          <t>Asistentes</t>
        </is>
      </c>
      <c r="G472" s="12">
        <f>IF(B472="","",IFERROR(INDEX(ref_preguntas!$C$2:$C$200,MATCH(B472,ref_preguntas!$A$2:$A$200,0)),"ID no existe"))</f>
        <v/>
      </c>
    </row>
    <row r="473">
      <c r="A473" s="10" t="inlineStr">
        <is>
          <t>MH-044</t>
        </is>
      </c>
      <c r="B473" s="10" t="inlineStr">
        <is>
          <t>P01</t>
        </is>
      </c>
      <c r="C473" s="10" t="inlineStr"/>
      <c r="D473" s="10" t="inlineStr">
        <is>
          <t>Verbena</t>
        </is>
      </c>
      <c r="E473" s="10" t="inlineStr">
        <is>
          <t>EXPLICITO</t>
        </is>
      </c>
      <c r="F473" s="10" t="inlineStr">
        <is>
          <t>Título</t>
        </is>
      </c>
      <c r="G473" s="12">
        <f>IF(B473="","",IFERROR(INDEX(ref_preguntas!$C$2:$C$200,MATCH(B473,ref_preguntas!$A$2:$A$200,0)),"ID no existe"))</f>
        <v/>
      </c>
    </row>
    <row r="474">
      <c r="A474" s="10" t="inlineStr">
        <is>
          <t>MH-044</t>
        </is>
      </c>
      <c r="B474" s="10" t="inlineStr">
        <is>
          <t>P02</t>
        </is>
      </c>
      <c r="C474" s="10" t="inlineStr"/>
      <c r="D474" s="10" t="inlineStr">
        <is>
          <t>Verbena</t>
        </is>
      </c>
      <c r="E474" s="10" t="inlineStr">
        <is>
          <t>EXPLICITO</t>
        </is>
      </c>
      <c r="F474" s="10" t="inlineStr">
        <is>
          <t>Título</t>
        </is>
      </c>
      <c r="G474" s="12">
        <f>IF(B474="","",IFERROR(INDEX(ref_preguntas!$C$2:$C$200,MATCH(B474,ref_preguntas!$A$2:$A$200,0)),"ID no existe"))</f>
        <v/>
      </c>
    </row>
    <row r="475">
      <c r="A475" s="10" t="inlineStr">
        <is>
          <t>MH-044</t>
        </is>
      </c>
      <c r="B475" s="10" t="inlineStr">
        <is>
          <t>P06</t>
        </is>
      </c>
      <c r="C475" s="10" t="inlineStr"/>
      <c r="D475" s="10" t="inlineStr">
        <is>
          <t>2025-05-24</t>
        </is>
      </c>
      <c r="E475" s="10" t="inlineStr">
        <is>
          <t>EXPLICITO</t>
        </is>
      </c>
      <c r="F475" s="10" t="inlineStr">
        <is>
          <t>Fecha y hora</t>
        </is>
      </c>
      <c r="G475" s="12">
        <f>IF(B475="","",IFERROR(INDEX(ref_preguntas!$C$2:$C$200,MATCH(B475,ref_preguntas!$A$2:$A$200,0)),"ID no existe"))</f>
        <v/>
      </c>
    </row>
    <row r="476">
      <c r="A476" s="10" t="inlineStr">
        <is>
          <t>MH-044</t>
        </is>
      </c>
      <c r="B476" s="10" t="inlineStr">
        <is>
          <t>P09</t>
        </is>
      </c>
      <c r="C476" s="10" t="inlineStr"/>
      <c r="D476" s="10" t="inlineStr">
        <is>
          <t>RESTAURANTE</t>
        </is>
      </c>
      <c r="E476" s="10" t="inlineStr">
        <is>
          <t>EXPLICITO</t>
        </is>
      </c>
      <c r="F476" s="10" t="inlineStr">
        <is>
          <t>Rubro confirmado por el equipo (2026-10-10)</t>
        </is>
      </c>
      <c r="G476" s="12">
        <f>IF(B476="","",IFERROR(INDEX(ref_preguntas!$C$2:$C$200,MATCH(B476,ref_preguntas!$A$2:$A$200,0)),"ID no existe"))</f>
        <v/>
      </c>
    </row>
    <row r="477">
      <c r="A477" s="10" t="inlineStr">
        <is>
          <t>MH-044</t>
        </is>
      </c>
      <c r="B477" s="10" t="inlineStr">
        <is>
          <t>P03</t>
        </is>
      </c>
      <c r="C477" s="10" t="inlineStr"/>
      <c r="D477" s="10" t="inlineStr">
        <is>
          <t>Av. Conquistadores 396</t>
        </is>
      </c>
      <c r="E477" s="10" t="inlineStr">
        <is>
          <t>EXPLICITO</t>
        </is>
      </c>
      <c r="F477" s="10" t="inlineStr">
        <is>
          <t>Dirección</t>
        </is>
      </c>
      <c r="G477" s="12">
        <f>IF(B477="","",IFERROR(INDEX(ref_preguntas!$C$2:$C$200,MATCH(B477,ref_preguntas!$A$2:$A$200,0)),"ID no existe"))</f>
        <v/>
      </c>
    </row>
    <row r="478">
      <c r="A478" s="10" t="inlineStr">
        <is>
          <t>MH-044</t>
        </is>
      </c>
      <c r="B478" s="10" t="inlineStr">
        <is>
          <t>P04</t>
        </is>
      </c>
      <c r="C478" s="10" t="inlineStr"/>
      <c r="D478" s="10" t="inlineStr">
        <is>
          <t>Marian Jiménez</t>
        </is>
      </c>
      <c r="E478" s="10" t="inlineStr">
        <is>
          <t>EXPLICITO</t>
        </is>
      </c>
      <c r="F478" s="10" t="inlineStr">
        <is>
          <t>Team cliente</t>
        </is>
      </c>
      <c r="G478" s="12">
        <f>IF(B478="","",IFERROR(INDEX(ref_preguntas!$C$2:$C$200,MATCH(B478,ref_preguntas!$A$2:$A$200,0)),"ID no existe"))</f>
        <v/>
      </c>
    </row>
    <row r="479">
      <c r="A479" s="10" t="inlineStr">
        <is>
          <t>MH-044</t>
        </is>
      </c>
      <c r="B479" s="10" t="inlineStr">
        <is>
          <t>P12</t>
        </is>
      </c>
      <c r="C479" s="10" t="inlineStr"/>
      <c r="D479" s="10" t="inlineStr">
        <is>
          <t>1</t>
        </is>
      </c>
      <c r="E479" s="10" t="inlineStr">
        <is>
          <t>INFERIDO</t>
        </is>
      </c>
      <c r="F479" s="10" t="inlineStr">
        <is>
          <t>Cajas mencionadas</t>
        </is>
      </c>
      <c r="G479" s="12">
        <f>IF(B479="","",IFERROR(INDEX(ref_preguntas!$C$2:$C$200,MATCH(B479,ref_preguntas!$A$2:$A$200,0)),"ID no existe"))</f>
        <v/>
      </c>
    </row>
    <row r="480">
      <c r="A480" s="10" t="inlineStr">
        <is>
          <t>MH-044</t>
        </is>
      </c>
      <c r="B480" s="10" t="inlineStr">
        <is>
          <t>P13</t>
        </is>
      </c>
      <c r="C480" s="10" t="inlineStr"/>
      <c r="D480" s="10" t="inlineStr">
        <is>
          <t>CLARO</t>
        </is>
      </c>
      <c r="E480" s="10" t="inlineStr">
        <is>
          <t>EXPLICITO</t>
        </is>
      </c>
      <c r="F480" s="10" t="inlineStr">
        <is>
          <t>Velocidad / red</t>
        </is>
      </c>
      <c r="G480" s="12">
        <f>IF(B480="","",IFERROR(INDEX(ref_preguntas!$C$2:$C$200,MATCH(B480,ref_preguntas!$A$2:$A$200,0)),"ID no existe"))</f>
        <v/>
      </c>
    </row>
    <row r="481">
      <c r="A481" s="10" t="inlineStr">
        <is>
          <t>MH-044</t>
        </is>
      </c>
      <c r="B481" s="10" t="inlineStr">
        <is>
          <t>P51</t>
        </is>
      </c>
      <c r="C481" s="10" t="inlineStr"/>
      <c r="D481" s="10" t="inlineStr">
        <is>
          <t>ID: Yomira Mora · Cliente: Marian Jiménez</t>
        </is>
      </c>
      <c r="E481" s="10" t="inlineStr">
        <is>
          <t>EXPLICITO</t>
        </is>
      </c>
      <c r="F481" s="10" t="inlineStr">
        <is>
          <t>Asistentes</t>
        </is>
      </c>
      <c r="G481" s="12">
        <f>IF(B481="","",IFERROR(INDEX(ref_preguntas!$C$2:$C$200,MATCH(B481,ref_preguntas!$A$2:$A$200,0)),"ID no existe"))</f>
        <v/>
      </c>
    </row>
    <row r="482">
      <c r="A482" s="10" t="inlineStr">
        <is>
          <t>MH-019</t>
        </is>
      </c>
      <c r="B482" s="10" t="inlineStr">
        <is>
          <t>P11</t>
        </is>
      </c>
      <c r="C482" s="10" t="inlineStr"/>
      <c r="D482" s="10" t="inlineStr">
        <is>
          <t>CAJA, COCINA, SALON_1</t>
        </is>
      </c>
      <c r="E482" s="10" t="inlineStr">
        <is>
          <t>EXPLICITO</t>
        </is>
      </c>
      <c r="F482" s="10" t="inlineStr">
        <is>
          <t>Zonas de trabajo / detalles de zonas</t>
        </is>
      </c>
      <c r="G482" s="12">
        <f>IF(B482="","",IFERROR(INDEX(ref_preguntas!$C$2:$C$200,MATCH(B482,ref_preguntas!$A$2:$A$200,0)),"ID no existe"))</f>
        <v/>
      </c>
    </row>
    <row r="483">
      <c r="A483" s="10" t="inlineStr">
        <is>
          <t>MH-020</t>
        </is>
      </c>
      <c r="B483" s="10" t="inlineStr">
        <is>
          <t>P11</t>
        </is>
      </c>
      <c r="C483" s="10" t="inlineStr"/>
      <c r="D483" s="10" t="inlineStr">
        <is>
          <t>SALON_1, TERRAZA, CAJA, COCINA, BARRA_1, BARRA_2</t>
        </is>
      </c>
      <c r="E483" s="10" t="inlineStr">
        <is>
          <t>EXPLICITO</t>
        </is>
      </c>
      <c r="F483" s="10" t="inlineStr">
        <is>
          <t>Zonas de trabajo / detalles de zonas</t>
        </is>
      </c>
      <c r="G483" s="12">
        <f>IF(B483="","",IFERROR(INDEX(ref_preguntas!$C$2:$C$200,MATCH(B483,ref_preguntas!$A$2:$A$200,0)),"ID no existe"))</f>
        <v/>
      </c>
    </row>
    <row r="484">
      <c r="A484" s="10" t="inlineStr">
        <is>
          <t>MH-021</t>
        </is>
      </c>
      <c r="B484" s="10" t="inlineStr">
        <is>
          <t>P11</t>
        </is>
      </c>
      <c r="C484" s="10" t="inlineStr"/>
      <c r="D484" s="10" t="inlineStr">
        <is>
          <t>SALON_1, BALCON, BAR, COCINA, CAJA</t>
        </is>
      </c>
      <c r="E484" s="10" t="inlineStr">
        <is>
          <t>EXPLICITO</t>
        </is>
      </c>
      <c r="F484" s="10" t="inlineStr">
        <is>
          <t>Zonas de trabajo / detalles de zonas</t>
        </is>
      </c>
      <c r="G484" s="12">
        <f>IF(B484="","",IFERROR(INDEX(ref_preguntas!$C$2:$C$200,MATCH(B484,ref_preguntas!$A$2:$A$200,0)),"ID no existe"))</f>
        <v/>
      </c>
    </row>
    <row r="485">
      <c r="A485" s="10" t="inlineStr">
        <is>
          <t>MH-022</t>
        </is>
      </c>
      <c r="B485" s="10" t="inlineStr">
        <is>
          <t>P11</t>
        </is>
      </c>
      <c r="C485" s="10" t="inlineStr"/>
      <c r="D485" s="10" t="inlineStr">
        <is>
          <t>BARRA_1, BARRA_2, PISTA</t>
        </is>
      </c>
      <c r="E485" s="10" t="inlineStr">
        <is>
          <t>EXPLICITO</t>
        </is>
      </c>
      <c r="F485" s="10" t="inlineStr">
        <is>
          <t>Zonas de trabajo / detalles de zonas</t>
        </is>
      </c>
      <c r="G485" s="12">
        <f>IF(B485="","",IFERROR(INDEX(ref_preguntas!$C$2:$C$200,MATCH(B485,ref_preguntas!$A$2:$A$200,0)),"ID no existe"))</f>
        <v/>
      </c>
    </row>
    <row r="486">
      <c r="A486" s="10" t="inlineStr">
        <is>
          <t>MH-023</t>
        </is>
      </c>
      <c r="B486" s="10" t="inlineStr">
        <is>
          <t>P11</t>
        </is>
      </c>
      <c r="C486" s="10" t="inlineStr"/>
      <c r="D486" s="10" t="inlineStr">
        <is>
          <t>CAJA, BAR, COCINA, EMPAQUETADO, PATIO, SALON_1</t>
        </is>
      </c>
      <c r="E486" s="10" t="inlineStr">
        <is>
          <t>EXPLICITO</t>
        </is>
      </c>
      <c r="F486" s="10" t="inlineStr">
        <is>
          <t>Zonas de trabajo / detalles de zonas</t>
        </is>
      </c>
      <c r="G486" s="12">
        <f>IF(B486="","",IFERROR(INDEX(ref_preguntas!$C$2:$C$200,MATCH(B486,ref_preguntas!$A$2:$A$200,0)),"ID no existe"))</f>
        <v/>
      </c>
    </row>
    <row r="487">
      <c r="A487" s="10" t="inlineStr">
        <is>
          <t>MH-024</t>
        </is>
      </c>
      <c r="B487" s="10" t="inlineStr">
        <is>
          <t>P11</t>
        </is>
      </c>
      <c r="C487" s="10" t="inlineStr"/>
      <c r="D487" s="10" t="inlineStr">
        <is>
          <t>CAJA, COCINA</t>
        </is>
      </c>
      <c r="E487" s="10" t="inlineStr">
        <is>
          <t>EXPLICITO</t>
        </is>
      </c>
      <c r="F487" s="10" t="inlineStr">
        <is>
          <t>Zonas de trabajo / detalles de zonas</t>
        </is>
      </c>
      <c r="G487" s="12">
        <f>IF(B487="","",IFERROR(INDEX(ref_preguntas!$C$2:$C$200,MATCH(B487,ref_preguntas!$A$2:$A$200,0)),"ID no existe"))</f>
        <v/>
      </c>
    </row>
    <row r="488">
      <c r="A488" s="10" t="inlineStr">
        <is>
          <t>MH-025</t>
        </is>
      </c>
      <c r="B488" s="10" t="inlineStr">
        <is>
          <t>P11</t>
        </is>
      </c>
      <c r="C488" s="10" t="inlineStr"/>
      <c r="D488" s="10" t="inlineStr">
        <is>
          <t>CAJA, MAKIS, BAR, COCINA</t>
        </is>
      </c>
      <c r="E488" s="10" t="inlineStr">
        <is>
          <t>EXPLICITO</t>
        </is>
      </c>
      <c r="F488" s="10" t="inlineStr">
        <is>
          <t>Zonas de trabajo / detalles de zonas</t>
        </is>
      </c>
      <c r="G488" s="12">
        <f>IF(B488="","",IFERROR(INDEX(ref_preguntas!$C$2:$C$200,MATCH(B488,ref_preguntas!$A$2:$A$200,0)),"ID no existe"))</f>
        <v/>
      </c>
    </row>
    <row r="489">
      <c r="A489" s="10" t="inlineStr">
        <is>
          <t>MH-027</t>
        </is>
      </c>
      <c r="B489" s="10" t="inlineStr">
        <is>
          <t>P11</t>
        </is>
      </c>
      <c r="C489" s="10" t="inlineStr"/>
      <c r="D489" s="10" t="inlineStr">
        <is>
          <t>CAJA, COCINA, SALON_1, SALON_2</t>
        </is>
      </c>
      <c r="E489" s="10" t="inlineStr">
        <is>
          <t>EXPLICITO</t>
        </is>
      </c>
      <c r="F489" s="10" t="inlineStr">
        <is>
          <t>Zonas de trabajo / detalles de zonas</t>
        </is>
      </c>
      <c r="G489" s="12">
        <f>IF(B489="","",IFERROR(INDEX(ref_preguntas!$C$2:$C$200,MATCH(B489,ref_preguntas!$A$2:$A$200,0)),"ID no existe"))</f>
        <v/>
      </c>
    </row>
    <row r="490">
      <c r="A490" s="10" t="inlineStr">
        <is>
          <t>MH-028</t>
        </is>
      </c>
      <c r="B490" s="10" t="inlineStr">
        <is>
          <t>P11</t>
        </is>
      </c>
      <c r="C490" s="10" t="inlineStr"/>
      <c r="D490" s="10" t="inlineStr">
        <is>
          <t>COCINA</t>
        </is>
      </c>
      <c r="E490" s="10" t="inlineStr">
        <is>
          <t>EXPLICITO</t>
        </is>
      </c>
      <c r="F490" s="10" t="inlineStr">
        <is>
          <t>Zonas de trabajo / detalles de zonas</t>
        </is>
      </c>
      <c r="G490" s="12">
        <f>IF(B490="","",IFERROR(INDEX(ref_preguntas!$C$2:$C$200,MATCH(B490,ref_preguntas!$A$2:$A$200,0)),"ID no existe"))</f>
        <v/>
      </c>
    </row>
    <row r="491">
      <c r="A491" s="10" t="inlineStr">
        <is>
          <t>MH-029</t>
        </is>
      </c>
      <c r="B491" s="10" t="inlineStr">
        <is>
          <t>P11</t>
        </is>
      </c>
      <c r="C491" s="10" t="inlineStr"/>
      <c r="D491" s="10" t="inlineStr">
        <is>
          <t>CAJA, BAR, COCINA</t>
        </is>
      </c>
      <c r="E491" s="10" t="inlineStr">
        <is>
          <t>EXPLICITO</t>
        </is>
      </c>
      <c r="F491" s="10" t="inlineStr">
        <is>
          <t>Zonas de trabajo / detalles de zonas</t>
        </is>
      </c>
      <c r="G491" s="12">
        <f>IF(B491="","",IFERROR(INDEX(ref_preguntas!$C$2:$C$200,MATCH(B491,ref_preguntas!$A$2:$A$200,0)),"ID no existe"))</f>
        <v/>
      </c>
    </row>
    <row r="492">
      <c r="A492" s="10" t="inlineStr">
        <is>
          <t>MH-030</t>
        </is>
      </c>
      <c r="B492" s="10" t="inlineStr">
        <is>
          <t>P11</t>
        </is>
      </c>
      <c r="C492" s="10" t="inlineStr"/>
      <c r="D492" s="10" t="inlineStr">
        <is>
          <t>CAJA, RAMEN, SALTEADOS, FRITURAS, MAKIS, BAR, SALON_1</t>
        </is>
      </c>
      <c r="E492" s="10" t="inlineStr">
        <is>
          <t>EXPLICITO</t>
        </is>
      </c>
      <c r="F492" s="10" t="inlineStr">
        <is>
          <t>Zonas de trabajo / detalles de zonas</t>
        </is>
      </c>
      <c r="G492" s="12">
        <f>IF(B492="","",IFERROR(INDEX(ref_preguntas!$C$2:$C$200,MATCH(B492,ref_preguntas!$A$2:$A$200,0)),"ID no existe"))</f>
        <v/>
      </c>
    </row>
    <row r="493">
      <c r="A493" s="10" t="inlineStr">
        <is>
          <t>MH-031</t>
        </is>
      </c>
      <c r="B493" s="10" t="inlineStr">
        <is>
          <t>P11</t>
        </is>
      </c>
      <c r="C493" s="10" t="inlineStr"/>
      <c r="D493" s="10" t="inlineStr">
        <is>
          <t>CAJA, MAKIS, RAMEN, FRITURAS, SALTEADOS, SALON_1</t>
        </is>
      </c>
      <c r="E493" s="10" t="inlineStr">
        <is>
          <t>EXPLICITO</t>
        </is>
      </c>
      <c r="F493" s="10" t="inlineStr">
        <is>
          <t>Zonas de trabajo / detalles de zonas</t>
        </is>
      </c>
      <c r="G493" s="12">
        <f>IF(B493="","",IFERROR(INDEX(ref_preguntas!$C$2:$C$200,MATCH(B493,ref_preguntas!$A$2:$A$200,0)),"ID no existe"))</f>
        <v/>
      </c>
    </row>
    <row r="494">
      <c r="A494" s="10" t="inlineStr">
        <is>
          <t>MH-032</t>
        </is>
      </c>
      <c r="B494" s="10" t="inlineStr">
        <is>
          <t>P11</t>
        </is>
      </c>
      <c r="C494" s="10" t="inlineStr"/>
      <c r="D494" s="10" t="inlineStr">
        <is>
          <t>CAJA, RAMEN, FRITURAS, SALTEADOS, MAKIS, BAR, SALON_1</t>
        </is>
      </c>
      <c r="E494" s="10" t="inlineStr">
        <is>
          <t>EXPLICITO</t>
        </is>
      </c>
      <c r="F494" s="10" t="inlineStr">
        <is>
          <t>Zonas de trabajo / detalles de zonas</t>
        </is>
      </c>
      <c r="G494" s="12">
        <f>IF(B494="","",IFERROR(INDEX(ref_preguntas!$C$2:$C$200,MATCH(B494,ref_preguntas!$A$2:$A$200,0)),"ID no existe"))</f>
        <v/>
      </c>
    </row>
    <row r="495">
      <c r="A495" s="10" t="inlineStr">
        <is>
          <t>MH-034</t>
        </is>
      </c>
      <c r="B495" s="10" t="inlineStr">
        <is>
          <t>P11</t>
        </is>
      </c>
      <c r="C495" s="10" t="inlineStr"/>
      <c r="D495" s="10" t="inlineStr">
        <is>
          <t>BAR</t>
        </is>
      </c>
      <c r="E495" s="10" t="inlineStr">
        <is>
          <t>EXPLICITO</t>
        </is>
      </c>
      <c r="F495" s="10" t="inlineStr">
        <is>
          <t>Zonas de trabajo / detalles de zonas</t>
        </is>
      </c>
      <c r="G495" s="12">
        <f>IF(B495="","",IFERROR(INDEX(ref_preguntas!$C$2:$C$200,MATCH(B495,ref_preguntas!$A$2:$A$200,0)),"ID no existe"))</f>
        <v/>
      </c>
    </row>
    <row r="496">
      <c r="A496" s="10" t="inlineStr">
        <is>
          <t>MH-035</t>
        </is>
      </c>
      <c r="B496" s="10" t="inlineStr">
        <is>
          <t>P11</t>
        </is>
      </c>
      <c r="C496" s="10" t="inlineStr"/>
      <c r="D496" s="10" t="inlineStr">
        <is>
          <t>CAJA, MAKIS, FRITURAS, RAMEN, SALTEADOS, COCINA, SALON_1</t>
        </is>
      </c>
      <c r="E496" s="10" t="inlineStr">
        <is>
          <t>EXPLICITO</t>
        </is>
      </c>
      <c r="F496" s="10" t="inlineStr">
        <is>
          <t>Zonas de trabajo / detalles de zonas</t>
        </is>
      </c>
      <c r="G496" s="12">
        <f>IF(B496="","",IFERROR(INDEX(ref_preguntas!$C$2:$C$200,MATCH(B496,ref_preguntas!$A$2:$A$200,0)),"ID no existe"))</f>
        <v/>
      </c>
    </row>
    <row r="497">
      <c r="A497" s="10" t="inlineStr">
        <is>
          <t>MH-036</t>
        </is>
      </c>
      <c r="B497" s="10" t="inlineStr">
        <is>
          <t>P11</t>
        </is>
      </c>
      <c r="C497" s="10" t="inlineStr"/>
      <c r="D497" s="10" t="inlineStr">
        <is>
          <t>CAJA, MAKIS, FRITURAS, SALTEADOS, RAMEN, BAR, SALON_1</t>
        </is>
      </c>
      <c r="E497" s="10" t="inlineStr">
        <is>
          <t>EXPLICITO</t>
        </is>
      </c>
      <c r="F497" s="10" t="inlineStr">
        <is>
          <t>Zonas de trabajo / detalles de zonas</t>
        </is>
      </c>
      <c r="G497" s="12">
        <f>IF(B497="","",IFERROR(INDEX(ref_preguntas!$C$2:$C$200,MATCH(B497,ref_preguntas!$A$2:$A$200,0)),"ID no existe"))</f>
        <v/>
      </c>
    </row>
    <row r="498">
      <c r="A498" s="10" t="inlineStr">
        <is>
          <t>MH-037</t>
        </is>
      </c>
      <c r="B498" s="10" t="inlineStr">
        <is>
          <t>P11</t>
        </is>
      </c>
      <c r="C498" s="10" t="inlineStr"/>
      <c r="D498" s="10" t="inlineStr">
        <is>
          <t>CAJA, MAKIS, FRITURAS, SALTEADOS, RAMEN, SALON_1, BAR</t>
        </is>
      </c>
      <c r="E498" s="10" t="inlineStr">
        <is>
          <t>EXPLICITO</t>
        </is>
      </c>
      <c r="F498" s="10" t="inlineStr">
        <is>
          <t>Zonas de trabajo / detalles de zonas</t>
        </is>
      </c>
      <c r="G498" s="12">
        <f>IF(B498="","",IFERROR(INDEX(ref_preguntas!$C$2:$C$200,MATCH(B498,ref_preguntas!$A$2:$A$200,0)),"ID no existe"))</f>
        <v/>
      </c>
    </row>
    <row r="499">
      <c r="A499" s="10" t="inlineStr">
        <is>
          <t>MH-038</t>
        </is>
      </c>
      <c r="B499" s="10" t="inlineStr">
        <is>
          <t>P11</t>
        </is>
      </c>
      <c r="C499" s="10" t="inlineStr"/>
      <c r="D499" s="10" t="inlineStr">
        <is>
          <t>CAJA, MAKIS, FRITURAS, SALTEADOS, RAMEN, SALON_1, BAR</t>
        </is>
      </c>
      <c r="E499" s="10" t="inlineStr">
        <is>
          <t>EXPLICITO</t>
        </is>
      </c>
      <c r="F499" s="10" t="inlineStr">
        <is>
          <t>Zonas de trabajo / detalles de zonas</t>
        </is>
      </c>
      <c r="G499" s="12">
        <f>IF(B499="","",IFERROR(INDEX(ref_preguntas!$C$2:$C$200,MATCH(B499,ref_preguntas!$A$2:$A$200,0)),"ID no existe"))</f>
        <v/>
      </c>
    </row>
    <row r="500">
      <c r="A500" s="10" t="inlineStr">
        <is>
          <t>MH-039</t>
        </is>
      </c>
      <c r="B500" s="10" t="inlineStr">
        <is>
          <t>P11</t>
        </is>
      </c>
      <c r="C500" s="10" t="inlineStr"/>
      <c r="D500" s="10" t="inlineStr">
        <is>
          <t>COCINA_1, COCINA_2, FRENTE_LOCAL, SALON_1</t>
        </is>
      </c>
      <c r="E500" s="10" t="inlineStr">
        <is>
          <t>EXPLICITO</t>
        </is>
      </c>
      <c r="F500" s="10" t="inlineStr">
        <is>
          <t>Zonas de trabajo / detalles de zonas</t>
        </is>
      </c>
      <c r="G500" s="12">
        <f>IF(B500="","",IFERROR(INDEX(ref_preguntas!$C$2:$C$200,MATCH(B500,ref_preguntas!$A$2:$A$200,0)),"ID no existe"))</f>
        <v/>
      </c>
    </row>
    <row r="501">
      <c r="A501" s="10" t="inlineStr">
        <is>
          <t>MH-040</t>
        </is>
      </c>
      <c r="B501" s="10" t="inlineStr">
        <is>
          <t>P11</t>
        </is>
      </c>
      <c r="C501" s="10" t="inlineStr"/>
      <c r="D501" s="10" t="inlineStr">
        <is>
          <t>SALON_1, BAR, CAJA, COCINA</t>
        </is>
      </c>
      <c r="E501" s="10" t="inlineStr">
        <is>
          <t>EXPLICITO</t>
        </is>
      </c>
      <c r="F501" s="10" t="inlineStr">
        <is>
          <t>Zonas de trabajo / detalles de zonas</t>
        </is>
      </c>
      <c r="G501" s="12">
        <f>IF(B501="","",IFERROR(INDEX(ref_preguntas!$C$2:$C$200,MATCH(B501,ref_preguntas!$A$2:$A$200,0)),"ID no existe"))</f>
        <v/>
      </c>
    </row>
    <row r="502">
      <c r="A502" s="10" t="inlineStr">
        <is>
          <t>MH-041</t>
        </is>
      </c>
      <c r="B502" s="10" t="inlineStr">
        <is>
          <t>P11</t>
        </is>
      </c>
      <c r="C502" s="10" t="inlineStr"/>
      <c r="D502" s="10" t="inlineStr">
        <is>
          <t>PATIO</t>
        </is>
      </c>
      <c r="E502" s="10" t="inlineStr">
        <is>
          <t>EXPLICITO</t>
        </is>
      </c>
      <c r="F502" s="10" t="inlineStr">
        <is>
          <t>Zonas de trabajo / detalles de zonas</t>
        </is>
      </c>
      <c r="G502" s="12">
        <f>IF(B502="","",IFERROR(INDEX(ref_preguntas!$C$2:$C$200,MATCH(B502,ref_preguntas!$A$2:$A$200,0)),"ID no existe"))</f>
        <v/>
      </c>
    </row>
    <row r="503">
      <c r="A503" s="10" t="inlineStr">
        <is>
          <t>MH-043</t>
        </is>
      </c>
      <c r="B503" s="10" t="inlineStr">
        <is>
          <t>P11</t>
        </is>
      </c>
      <c r="C503" s="10" t="inlineStr"/>
      <c r="D503" s="10" t="inlineStr">
        <is>
          <t>CAJA</t>
        </is>
      </c>
      <c r="E503" s="10" t="inlineStr">
        <is>
          <t>EXPLICITO</t>
        </is>
      </c>
      <c r="F503" s="10" t="inlineStr">
        <is>
          <t>Zonas de trabajo / detalles de zonas</t>
        </is>
      </c>
      <c r="G503" s="12">
        <f>IF(B503="","",IFERROR(INDEX(ref_preguntas!$C$2:$C$200,MATCH(B503,ref_preguntas!$A$2:$A$200,0)),"ID no existe"))</f>
        <v/>
      </c>
    </row>
    <row r="504">
      <c r="A504" s="10" t="inlineStr">
        <is>
          <t>MH-044</t>
        </is>
      </c>
      <c r="B504" s="10" t="inlineStr">
        <is>
          <t>P11</t>
        </is>
      </c>
      <c r="C504" s="10" t="inlineStr"/>
      <c r="D504" s="10" t="inlineStr">
        <is>
          <t>TERRAZA, PRIVADO, SALON_1, BAR, COCINA</t>
        </is>
      </c>
      <c r="E504" s="10" t="inlineStr">
        <is>
          <t>EXPLICITO</t>
        </is>
      </c>
      <c r="F504" s="10" t="inlineStr">
        <is>
          <t>Zonas de trabajo / detalles de zonas</t>
        </is>
      </c>
      <c r="G504" s="12">
        <f>IF(B504="","",IFERROR(INDEX(ref_preguntas!$C$2:$C$200,MATCH(B504,ref_preguntas!$A$2:$A$200,0)),"ID no existe"))</f>
        <v/>
      </c>
    </row>
    <row r="505">
      <c r="A505" s="10" t="inlineStr">
        <is>
          <t>MH-029</t>
        </is>
      </c>
      <c r="B505" s="10" t="inlineStr">
        <is>
          <t>P12e</t>
        </is>
      </c>
      <c r="C505" s="10" t="inlineStr"/>
      <c r="D505" s="10" t="inlineStr">
        <is>
          <t>BAR</t>
        </is>
      </c>
      <c r="E505" s="10" t="inlineStr">
        <is>
          <t>EXPLICITO</t>
        </is>
      </c>
      <c r="F505" s="10" t="inlineStr">
        <is>
          <t>Impresora Caja-Barra</t>
        </is>
      </c>
      <c r="G505" s="12">
        <f>IF(B505="","",IFERROR(INDEX(ref_preguntas!$C$2:$C$200,MATCH(B505,ref_preguntas!$A$2:$A$200,0)),"ID no existe"))</f>
        <v/>
      </c>
    </row>
    <row r="506">
      <c r="A506" s="10" t="inlineStr">
        <is>
          <t>MH-040</t>
        </is>
      </c>
      <c r="B506" s="10" t="inlineStr">
        <is>
          <t>P12e</t>
        </is>
      </c>
      <c r="C506" s="10" t="inlineStr"/>
      <c r="D506" s="10" t="inlineStr">
        <is>
          <t>BAR</t>
        </is>
      </c>
      <c r="E506" s="10" t="inlineStr">
        <is>
          <t>EXPLICITO</t>
        </is>
      </c>
      <c r="F506" s="10" t="inlineStr">
        <is>
          <t>Barra (Caja), impresora Bar (Caja)</t>
        </is>
      </c>
      <c r="G506" s="12">
        <f>IF(B506="","",IFERROR(INDEX(ref_preguntas!$C$2:$C$200,MATCH(B506,ref_preguntas!$A$2:$A$200,0)),"ID no existe"))</f>
        <v/>
      </c>
    </row>
    <row r="507">
      <c r="A507" s="10" t="inlineStr">
        <is>
          <t>MH-024</t>
        </is>
      </c>
      <c r="B507" s="10" t="inlineStr">
        <is>
          <t>P12e</t>
        </is>
      </c>
      <c r="C507" s="10" t="inlineStr"/>
      <c r="D507" s="10" t="inlineStr">
        <is>
          <t>BAR</t>
        </is>
      </c>
      <c r="E507" s="10" t="inlineStr">
        <is>
          <t>EXPLICITO</t>
        </is>
      </c>
      <c r="F507" s="10" t="inlineStr">
        <is>
          <t>Impresora Caja/Barra</t>
        </is>
      </c>
      <c r="G507" s="12">
        <f>IF(B507="","",IFERROR(INDEX(ref_preguntas!$C$2:$C$200,MATCH(B507,ref_preguntas!$A$2:$A$200,0)),"ID no existe"))</f>
        <v/>
      </c>
    </row>
    <row r="508">
      <c r="A508" s="10" t="inlineStr">
        <is>
          <t>MH-019</t>
        </is>
      </c>
      <c r="B508" s="10" t="inlineStr">
        <is>
          <t>P12e</t>
        </is>
      </c>
      <c r="C508" s="10" t="inlineStr"/>
      <c r="D508" s="10" t="inlineStr">
        <is>
          <t>NO</t>
        </is>
      </c>
      <c r="E508" s="10" t="inlineStr">
        <is>
          <t>EXPLICITO</t>
        </is>
      </c>
      <c r="F508" s="10" t="inlineStr">
        <is>
          <t>Impresora en caja</t>
        </is>
      </c>
      <c r="G508" s="12">
        <f>IF(B508="","",IFERROR(INDEX(ref_preguntas!$C$2:$C$200,MATCH(B508,ref_preguntas!$A$2:$A$200,0)),"ID no existe"))</f>
        <v/>
      </c>
    </row>
    <row r="509">
      <c r="A509" s="10" t="inlineStr">
        <is>
          <t>MH-019</t>
        </is>
      </c>
      <c r="B509" s="10" t="inlineStr">
        <is>
          <t>P22</t>
        </is>
      </c>
      <c r="C509" s="10" t="inlineStr">
        <is>
          <t>L_CAJAS:1</t>
        </is>
      </c>
      <c r="D509" s="10" t="inlineStr">
        <is>
          <t>NO</t>
        </is>
      </c>
      <c r="E509" s="10" t="inlineStr">
        <is>
          <t>INFERIDO</t>
        </is>
      </c>
      <c r="F509" s="10" t="inlineStr">
        <is>
          <t>Solo Sunmi V2 Pro; se recomienda Raspberry</t>
        </is>
      </c>
      <c r="G509" s="12">
        <f>IF(B509="","",IFERROR(INDEX(ref_preguntas!$C$2:$C$200,MATCH(B509,ref_preguntas!$A$2:$A$200,0)),"ID no existe"))</f>
        <v/>
      </c>
    </row>
    <row r="510">
      <c r="A510" s="10" t="inlineStr">
        <is>
          <t>MH-022</t>
        </is>
      </c>
      <c r="B510" s="10" t="inlineStr">
        <is>
          <t>P22</t>
        </is>
      </c>
      <c r="C510" s="10" t="inlineStr">
        <is>
          <t>L_CAJAS:1</t>
        </is>
      </c>
      <c r="D510" s="10" t="inlineStr">
        <is>
          <t>SI</t>
        </is>
      </c>
      <c r="E510" s="10" t="inlineStr">
        <is>
          <t>EXPLICITO</t>
        </is>
      </c>
      <c r="F510" s="10" t="inlineStr">
        <is>
          <t>Laptop Lenovo</t>
        </is>
      </c>
      <c r="G510" s="12">
        <f>IF(B510="","",IFERROR(INDEX(ref_preguntas!$C$2:$C$200,MATCH(B510,ref_preguntas!$A$2:$A$200,0)),"ID no existe"))</f>
        <v/>
      </c>
    </row>
    <row r="511">
      <c r="A511" s="10" t="inlineStr">
        <is>
          <t>MH-022</t>
        </is>
      </c>
      <c r="B511" s="10" t="inlineStr">
        <is>
          <t>P22g</t>
        </is>
      </c>
      <c r="C511" s="10" t="inlineStr">
        <is>
          <t>L_CAJAS:1</t>
        </is>
      </c>
      <c r="D511" s="10" t="inlineStr">
        <is>
          <t>NO</t>
        </is>
      </c>
      <c r="E511" s="10" t="inlineStr">
        <is>
          <t>EXPLICITO</t>
        </is>
      </c>
      <c r="F511" s="10" t="inlineStr">
        <is>
          <t>La laptop no estará permanentemente</t>
        </is>
      </c>
      <c r="G511" s="12">
        <f>IF(B511="","",IFERROR(INDEX(ref_preguntas!$C$2:$C$200,MATCH(B511,ref_preguntas!$A$2:$A$200,0)),"ID no existe"))</f>
        <v/>
      </c>
    </row>
    <row r="512">
      <c r="A512" s="10" t="inlineStr">
        <is>
          <t>MH-023</t>
        </is>
      </c>
      <c r="B512" s="10" t="inlineStr">
        <is>
          <t>P22</t>
        </is>
      </c>
      <c r="C512" s="10" t="inlineStr">
        <is>
          <t>L_CAJAS:1</t>
        </is>
      </c>
      <c r="D512" s="10" t="inlineStr">
        <is>
          <t>NO</t>
        </is>
      </c>
      <c r="E512" s="10" t="inlineStr">
        <is>
          <t>INFERIDO</t>
        </is>
      </c>
      <c r="F512" s="10" t="inlineStr">
        <is>
          <t>Raspberry instalado en caja</t>
        </is>
      </c>
      <c r="G512" s="12">
        <f>IF(B512="","",IFERROR(INDEX(ref_preguntas!$C$2:$C$200,MATCH(B512,ref_preguntas!$A$2:$A$200,0)),"ID no existe"))</f>
        <v/>
      </c>
    </row>
    <row r="513">
      <c r="A513" s="10" t="inlineStr">
        <is>
          <t>MH-023</t>
        </is>
      </c>
      <c r="B513" s="10" t="inlineStr">
        <is>
          <t>P26</t>
        </is>
      </c>
      <c r="C513" s="10" t="inlineStr"/>
      <c r="D513" s="10" t="inlineStr">
        <is>
          <t>4</t>
        </is>
      </c>
      <c r="E513" s="10" t="inlineStr">
        <is>
          <t>EXPLICITO</t>
        </is>
      </c>
      <c r="F513" s="10" t="inlineStr">
        <is>
          <t>Caja, barra, cocina, empaquetados</t>
        </is>
      </c>
      <c r="G513" s="12">
        <f>IF(B513="","",IFERROR(INDEX(ref_preguntas!$C$2:$C$200,MATCH(B513,ref_preguntas!$A$2:$A$200,0)),"ID no existe"))</f>
        <v/>
      </c>
    </row>
    <row r="514">
      <c r="A514" s="10" t="inlineStr">
        <is>
          <t>MH-024</t>
        </is>
      </c>
      <c r="B514" s="10" t="inlineStr">
        <is>
          <t>P26</t>
        </is>
      </c>
      <c r="C514" s="10" t="inlineStr"/>
      <c r="D514" s="10" t="inlineStr">
        <is>
          <t>2</t>
        </is>
      </c>
      <c r="E514" s="10" t="inlineStr">
        <is>
          <t>EXPLICITO</t>
        </is>
      </c>
      <c r="F514" s="10" t="inlineStr">
        <is>
          <t>Caja/Barra y Cocina</t>
        </is>
      </c>
      <c r="G514" s="12">
        <f>IF(B514="","",IFERROR(INDEX(ref_preguntas!$C$2:$C$200,MATCH(B514,ref_preguntas!$A$2:$A$200,0)),"ID no existe"))</f>
        <v/>
      </c>
    </row>
    <row r="515">
      <c r="A515" s="10" t="inlineStr">
        <is>
          <t>MH-024</t>
        </is>
      </c>
      <c r="B515" s="10" t="inlineStr">
        <is>
          <t>P38</t>
        </is>
      </c>
      <c r="C515" s="10" t="inlineStr"/>
      <c r="D515" s="10" t="inlineStr">
        <is>
          <t>NO</t>
        </is>
      </c>
      <c r="E515" s="10" t="inlineStr">
        <is>
          <t>EXPLICITO</t>
        </is>
      </c>
      <c r="F515" s="10" t="inlineStr">
        <is>
          <t>El local no cuenta con puntos de red</t>
        </is>
      </c>
      <c r="G515" s="12">
        <f>IF(B515="","",IFERROR(INDEX(ref_preguntas!$C$2:$C$200,MATCH(B515,ref_preguntas!$A$2:$A$200,0)),"ID no existe"))</f>
        <v/>
      </c>
    </row>
    <row r="516">
      <c r="A516" s="10" t="inlineStr">
        <is>
          <t>MH-024</t>
        </is>
      </c>
      <c r="B516" s="10" t="inlineStr">
        <is>
          <t>P46</t>
        </is>
      </c>
      <c r="C516" s="10" t="inlineStr"/>
      <c r="D516" s="10" t="inlineStr">
        <is>
          <t>SALON_1</t>
        </is>
      </c>
      <c r="E516" s="10" t="inlineStr">
        <is>
          <t>INFERIDO</t>
        </is>
      </c>
      <c r="F516" s="10" t="inlineStr">
        <is>
          <t>Cobertura no llega al 100 %</t>
        </is>
      </c>
      <c r="G516" s="12">
        <f>IF(B516="","",IFERROR(INDEX(ref_preguntas!$C$2:$C$200,MATCH(B516,ref_preguntas!$A$2:$A$200,0)),"ID no existe"))</f>
        <v/>
      </c>
    </row>
    <row r="517">
      <c r="A517" s="10" t="inlineStr">
        <is>
          <t>MH-025</t>
        </is>
      </c>
      <c r="B517" s="10" t="inlineStr">
        <is>
          <t>P22</t>
        </is>
      </c>
      <c r="C517" s="10" t="inlineStr">
        <is>
          <t>L_CAJAS:1</t>
        </is>
      </c>
      <c r="D517" s="10" t="inlineStr">
        <is>
          <t>SI</t>
        </is>
      </c>
      <c r="E517" s="10" t="inlineStr">
        <is>
          <t>EXPLICITO</t>
        </is>
      </c>
      <c r="F517" s="10" t="inlineStr">
        <is>
          <t>Laptop del local</t>
        </is>
      </c>
      <c r="G517" s="12">
        <f>IF(B517="","",IFERROR(INDEX(ref_preguntas!$C$2:$C$200,MATCH(B517,ref_preguntas!$A$2:$A$200,0)),"ID no existe"))</f>
        <v/>
      </c>
    </row>
    <row r="518">
      <c r="A518" s="10" t="inlineStr">
        <is>
          <t>MH-025</t>
        </is>
      </c>
      <c r="B518" s="10" t="inlineStr">
        <is>
          <t>P26</t>
        </is>
      </c>
      <c r="C518" s="10" t="inlineStr"/>
      <c r="D518" s="10" t="inlineStr">
        <is>
          <t>4</t>
        </is>
      </c>
      <c r="E518" s="10" t="inlineStr">
        <is>
          <t>EXPLICITO</t>
        </is>
      </c>
      <c r="F518" s="10" t="inlineStr">
        <is>
          <t>Caja, barra sushi, bar, cocina</t>
        </is>
      </c>
      <c r="G518" s="12">
        <f>IF(B518="","",IFERROR(INDEX(ref_preguntas!$C$2:$C$200,MATCH(B518,ref_preguntas!$A$2:$A$200,0)),"ID no existe"))</f>
        <v/>
      </c>
    </row>
    <row r="519">
      <c r="A519" s="10" t="inlineStr">
        <is>
          <t>MH-027</t>
        </is>
      </c>
      <c r="B519" s="10" t="inlineStr">
        <is>
          <t>P38</t>
        </is>
      </c>
      <c r="C519" s="10" t="inlineStr"/>
      <c r="D519" s="10" t="inlineStr">
        <is>
          <t>NO</t>
        </is>
      </c>
      <c r="E519" s="10" t="inlineStr">
        <is>
          <t>EXPLICITO</t>
        </is>
      </c>
      <c r="F519" s="10" t="inlineStr">
        <is>
          <t>Pendiente punto de red de caja y de cocina</t>
        </is>
      </c>
      <c r="G519" s="12">
        <f>IF(B519="","",IFERROR(INDEX(ref_preguntas!$C$2:$C$200,MATCH(B519,ref_preguntas!$A$2:$A$200,0)),"ID no existe"))</f>
        <v/>
      </c>
    </row>
    <row r="520">
      <c r="A520" s="10" t="inlineStr">
        <is>
          <t>MH-028</t>
        </is>
      </c>
      <c r="B520" s="10" t="inlineStr">
        <is>
          <t>P22</t>
        </is>
      </c>
      <c r="C520" s="10" t="inlineStr">
        <is>
          <t>L_CAJAS:1</t>
        </is>
      </c>
      <c r="D520" s="10" t="inlineStr">
        <is>
          <t>SI</t>
        </is>
      </c>
      <c r="E520" s="10" t="inlineStr">
        <is>
          <t>EXPLICITO</t>
        </is>
      </c>
      <c r="F520" s="10" t="inlineStr">
        <is>
          <t>Laptop conectada al router</t>
        </is>
      </c>
      <c r="G520" s="12">
        <f>IF(B520="","",IFERROR(INDEX(ref_preguntas!$C$2:$C$200,MATCH(B520,ref_preguntas!$A$2:$A$200,0)),"ID no existe"))</f>
        <v/>
      </c>
    </row>
    <row r="521">
      <c r="A521" s="10" t="inlineStr">
        <is>
          <t>MH-030</t>
        </is>
      </c>
      <c r="B521" s="10" t="inlineStr">
        <is>
          <t>P22</t>
        </is>
      </c>
      <c r="C521" s="10" t="inlineStr">
        <is>
          <t>L_CAJAS:1</t>
        </is>
      </c>
      <c r="D521" s="10" t="inlineStr">
        <is>
          <t>SI</t>
        </is>
      </c>
      <c r="E521" s="10" t="inlineStr">
        <is>
          <t>EXPLICITO</t>
        </is>
      </c>
      <c r="F521" s="10" t="inlineStr">
        <is>
          <t>PC de caja</t>
        </is>
      </c>
      <c r="G521" s="12">
        <f>IF(B521="","",IFERROR(INDEX(ref_preguntas!$C$2:$C$200,MATCH(B521,ref_preguntas!$A$2:$A$200,0)),"ID no existe"))</f>
        <v/>
      </c>
    </row>
    <row r="522">
      <c r="A522" s="10" t="inlineStr">
        <is>
          <t>MH-030</t>
        </is>
      </c>
      <c r="B522" s="10" t="inlineStr">
        <is>
          <t>P26</t>
        </is>
      </c>
      <c r="C522" s="10" t="inlineStr"/>
      <c r="D522" s="10" t="inlineStr">
        <is>
          <t>5</t>
        </is>
      </c>
      <c r="E522" s="10" t="inlineStr">
        <is>
          <t>EXPLICITO</t>
        </is>
      </c>
      <c r="F522" s="10" t="inlineStr">
        <is>
          <t>Caja, ramen, salteados, frituras, makis</t>
        </is>
      </c>
      <c r="G522" s="12">
        <f>IF(B522="","",IFERROR(INDEX(ref_preguntas!$C$2:$C$200,MATCH(B522,ref_preguntas!$A$2:$A$200,0)),"ID no existe"))</f>
        <v/>
      </c>
    </row>
    <row r="523">
      <c r="A523" s="10" t="inlineStr">
        <is>
          <t>MH-030</t>
        </is>
      </c>
      <c r="B523" s="10" t="inlineStr">
        <is>
          <t>P47</t>
        </is>
      </c>
      <c r="C523" s="10" t="inlineStr"/>
      <c r="D523" s="10" t="inlineStr">
        <is>
          <t>SI</t>
        </is>
      </c>
      <c r="E523" s="10" t="inlineStr">
        <is>
          <t>EXPLICITO</t>
        </is>
      </c>
      <c r="F523" s="10" t="inlineStr">
        <is>
          <t>Cables de cámaras</t>
        </is>
      </c>
      <c r="G523" s="12">
        <f>IF(B523="","",IFERROR(INDEX(ref_preguntas!$C$2:$C$200,MATCH(B523,ref_preguntas!$A$2:$A$200,0)),"ID no existe"))</f>
        <v/>
      </c>
    </row>
    <row r="524">
      <c r="A524" s="10" t="inlineStr">
        <is>
          <t>MH-031</t>
        </is>
      </c>
      <c r="B524" s="10" t="inlineStr">
        <is>
          <t>P22</t>
        </is>
      </c>
      <c r="C524" s="10" t="inlineStr">
        <is>
          <t>L_CAJAS:1</t>
        </is>
      </c>
      <c r="D524" s="10" t="inlineStr">
        <is>
          <t>SI</t>
        </is>
      </c>
      <c r="E524" s="10" t="inlineStr">
        <is>
          <t>EXPLICITO</t>
        </is>
      </c>
      <c r="F524" s="10" t="inlineStr">
        <is>
          <t>PC de caja</t>
        </is>
      </c>
      <c r="G524" s="12">
        <f>IF(B524="","",IFERROR(INDEX(ref_preguntas!$C$2:$C$200,MATCH(B524,ref_preguntas!$A$2:$A$200,0)),"ID no existe"))</f>
        <v/>
      </c>
    </row>
    <row r="525">
      <c r="A525" s="10" t="inlineStr">
        <is>
          <t>MH-031</t>
        </is>
      </c>
      <c r="B525" s="10" t="inlineStr">
        <is>
          <t>P26</t>
        </is>
      </c>
      <c r="C525" s="10" t="inlineStr"/>
      <c r="D525" s="10" t="inlineStr">
        <is>
          <t>5</t>
        </is>
      </c>
      <c r="E525" s="10" t="inlineStr">
        <is>
          <t>EXPLICITO</t>
        </is>
      </c>
      <c r="F525" s="10" t="inlineStr">
        <is>
          <t>Caja, maki, ramen, frituras, salteados</t>
        </is>
      </c>
      <c r="G525" s="12">
        <f>IF(B525="","",IFERROR(INDEX(ref_preguntas!$C$2:$C$200,MATCH(B525,ref_preguntas!$A$2:$A$200,0)),"ID no existe"))</f>
        <v/>
      </c>
    </row>
    <row r="526">
      <c r="A526" s="10" t="inlineStr">
        <is>
          <t>MH-031</t>
        </is>
      </c>
      <c r="B526" s="10" t="inlineStr">
        <is>
          <t>P45</t>
        </is>
      </c>
      <c r="C526" s="10" t="inlineStr"/>
      <c r="D526" s="10" t="inlineStr">
        <is>
          <t>SI</t>
        </is>
      </c>
      <c r="E526" s="10" t="inlineStr">
        <is>
          <t>EXPLICITO</t>
        </is>
      </c>
      <c r="F526" s="10" t="inlineStr">
        <is>
          <t>3 access points</t>
        </is>
      </c>
      <c r="G526" s="12">
        <f>IF(B526="","",IFERROR(INDEX(ref_preguntas!$C$2:$C$200,MATCH(B526,ref_preguntas!$A$2:$A$200,0)),"ID no existe"))</f>
        <v/>
      </c>
    </row>
    <row r="527">
      <c r="A527" s="10" t="inlineStr">
        <is>
          <t>MH-031</t>
        </is>
      </c>
      <c r="B527" s="10" t="inlineStr">
        <is>
          <t>P47</t>
        </is>
      </c>
      <c r="C527" s="10" t="inlineStr"/>
      <c r="D527" s="10" t="inlineStr">
        <is>
          <t>SI</t>
        </is>
      </c>
      <c r="E527" s="10" t="inlineStr">
        <is>
          <t>EXPLICITO</t>
        </is>
      </c>
      <c r="F527" s="10" t="inlineStr">
        <is>
          <t>Cámaras en el switch</t>
        </is>
      </c>
      <c r="G527" s="12">
        <f>IF(B527="","",IFERROR(INDEX(ref_preguntas!$C$2:$C$200,MATCH(B527,ref_preguntas!$A$2:$A$200,0)),"ID no existe"))</f>
        <v/>
      </c>
    </row>
    <row r="528">
      <c r="A528" s="10" t="inlineStr">
        <is>
          <t>MH-032</t>
        </is>
      </c>
      <c r="B528" s="10" t="inlineStr">
        <is>
          <t>P22</t>
        </is>
      </c>
      <c r="C528" s="10" t="inlineStr">
        <is>
          <t>L_CAJAS:1</t>
        </is>
      </c>
      <c r="D528" s="10" t="inlineStr">
        <is>
          <t>SI</t>
        </is>
      </c>
      <c r="E528" s="10" t="inlineStr">
        <is>
          <t>EXPLICITO</t>
        </is>
      </c>
      <c r="F528" s="10" t="inlineStr">
        <is>
          <t>PC de caja</t>
        </is>
      </c>
      <c r="G528" s="12">
        <f>IF(B528="","",IFERROR(INDEX(ref_preguntas!$C$2:$C$200,MATCH(B528,ref_preguntas!$A$2:$A$200,0)),"ID no existe"))</f>
        <v/>
      </c>
    </row>
    <row r="529">
      <c r="A529" s="10" t="inlineStr">
        <is>
          <t>MH-032</t>
        </is>
      </c>
      <c r="B529" s="10" t="inlineStr">
        <is>
          <t>P26</t>
        </is>
      </c>
      <c r="C529" s="10" t="inlineStr"/>
      <c r="D529" s="10" t="inlineStr">
        <is>
          <t>5</t>
        </is>
      </c>
      <c r="E529" s="10" t="inlineStr">
        <is>
          <t>EXPLICITO</t>
        </is>
      </c>
      <c r="F529" s="10" t="inlineStr">
        <is>
          <t>Caja, ramen, frituras, salteados, makis</t>
        </is>
      </c>
      <c r="G529" s="12">
        <f>IF(B529="","",IFERROR(INDEX(ref_preguntas!$C$2:$C$200,MATCH(B529,ref_preguntas!$A$2:$A$200,0)),"ID no existe"))</f>
        <v/>
      </c>
    </row>
    <row r="530">
      <c r="A530" s="10" t="inlineStr">
        <is>
          <t>MH-032</t>
        </is>
      </c>
      <c r="B530" s="10" t="inlineStr">
        <is>
          <t>P47</t>
        </is>
      </c>
      <c r="C530" s="10" t="inlineStr"/>
      <c r="D530" s="10" t="inlineStr">
        <is>
          <t>SI</t>
        </is>
      </c>
      <c r="E530" s="10" t="inlineStr">
        <is>
          <t>EXPLICITO</t>
        </is>
      </c>
      <c r="F530" s="10" t="inlineStr">
        <is>
          <t>Cámaras en el switch</t>
        </is>
      </c>
      <c r="G530" s="12">
        <f>IF(B530="","",IFERROR(INDEX(ref_preguntas!$C$2:$C$200,MATCH(B530,ref_preguntas!$A$2:$A$200,0)),"ID no existe"))</f>
        <v/>
      </c>
    </row>
    <row r="531">
      <c r="A531" s="10" t="inlineStr">
        <is>
          <t>MH-033</t>
        </is>
      </c>
      <c r="B531" s="10" t="inlineStr">
        <is>
          <t>P22</t>
        </is>
      </c>
      <c r="C531" s="10" t="inlineStr">
        <is>
          <t>L_CAJAS:1</t>
        </is>
      </c>
      <c r="D531" s="10" t="inlineStr">
        <is>
          <t>TABLET</t>
        </is>
      </c>
      <c r="E531" s="10" t="inlineStr">
        <is>
          <t>EXPLICITO</t>
        </is>
      </c>
      <c r="F531" s="10" t="inlineStr">
        <is>
          <t>Tablet de caja por WiFi</t>
        </is>
      </c>
      <c r="G531" s="12">
        <f>IF(B531="","",IFERROR(INDEX(ref_preguntas!$C$2:$C$200,MATCH(B531,ref_preguntas!$A$2:$A$200,0)),"ID no existe"))</f>
        <v/>
      </c>
    </row>
    <row r="532">
      <c r="A532" s="10" t="inlineStr">
        <is>
          <t>MH-033</t>
        </is>
      </c>
      <c r="B532" s="10" t="inlineStr">
        <is>
          <t>P47</t>
        </is>
      </c>
      <c r="C532" s="10" t="inlineStr"/>
      <c r="D532" s="10" t="inlineStr">
        <is>
          <t>SI</t>
        </is>
      </c>
      <c r="E532" s="10" t="inlineStr">
        <is>
          <t>EXPLICITO</t>
        </is>
      </c>
      <c r="F532" s="10" t="inlineStr">
        <is>
          <t>Cable de cámaras</t>
        </is>
      </c>
      <c r="G532" s="12">
        <f>IF(B532="","",IFERROR(INDEX(ref_preguntas!$C$2:$C$200,MATCH(B532,ref_preguntas!$A$2:$A$200,0)),"ID no existe"))</f>
        <v/>
      </c>
    </row>
    <row r="533">
      <c r="A533" s="10" t="inlineStr">
        <is>
          <t>MH-033</t>
        </is>
      </c>
      <c r="B533" s="10" t="inlineStr">
        <is>
          <t>P50</t>
        </is>
      </c>
      <c r="C533" s="10" t="inlineStr"/>
      <c r="D533" s="10" t="inlineStr">
        <is>
          <t>SI</t>
        </is>
      </c>
      <c r="E533" s="10" t="inlineStr">
        <is>
          <t>EXPLICITO</t>
        </is>
      </c>
      <c r="F533" s="10" t="inlineStr">
        <is>
          <t>Segunda visita</t>
        </is>
      </c>
      <c r="G533" s="12">
        <f>IF(B533="","",IFERROR(INDEX(ref_preguntas!$C$2:$C$200,MATCH(B533,ref_preguntas!$A$2:$A$200,0)),"ID no existe"))</f>
        <v/>
      </c>
    </row>
    <row r="534">
      <c r="A534" s="10" t="inlineStr">
        <is>
          <t>MH-033</t>
        </is>
      </c>
      <c r="B534" s="10" t="inlineStr">
        <is>
          <t>P50a</t>
        </is>
      </c>
      <c r="C534" s="10" t="inlineStr"/>
      <c r="D534" s="10" t="inlineStr">
        <is>
          <t>Mantenimiento del Raspberry</t>
        </is>
      </c>
      <c r="E534" s="10" t="inlineStr">
        <is>
          <t>EXPLICITO</t>
        </is>
      </c>
      <c r="F534" s="10" t="inlineStr">
        <is>
          <t>Siguientes acciones</t>
        </is>
      </c>
      <c r="G534" s="12">
        <f>IF(B534="","",IFERROR(INDEX(ref_preguntas!$C$2:$C$200,MATCH(B534,ref_preguntas!$A$2:$A$200,0)),"ID no existe"))</f>
        <v/>
      </c>
    </row>
    <row r="535">
      <c r="A535" s="10" t="inlineStr">
        <is>
          <t>MH-034</t>
        </is>
      </c>
      <c r="B535" s="10" t="inlineStr">
        <is>
          <t>P22</t>
        </is>
      </c>
      <c r="C535" s="10" t="inlineStr">
        <is>
          <t>L_CAJAS:1</t>
        </is>
      </c>
      <c r="D535" s="10" t="inlineStr">
        <is>
          <t>OTRO</t>
        </is>
      </c>
      <c r="E535" s="10" t="inlineStr">
        <is>
          <t>EXPLICITO</t>
        </is>
      </c>
      <c r="F535" s="10" t="inlineStr">
        <is>
          <t>Celular por WiFi</t>
        </is>
      </c>
      <c r="G535" s="12">
        <f>IF(B535="","",IFERROR(INDEX(ref_preguntas!$C$2:$C$200,MATCH(B535,ref_preguntas!$A$2:$A$200,0)),"ID no existe"))</f>
        <v/>
      </c>
    </row>
    <row r="536">
      <c r="A536" s="10" t="inlineStr">
        <is>
          <t>MH-034</t>
        </is>
      </c>
      <c r="B536" s="10" t="inlineStr">
        <is>
          <t>P22f</t>
        </is>
      </c>
      <c r="C536" s="10" t="inlineStr">
        <is>
          <t>L_CAJAS:1</t>
        </is>
      </c>
      <c r="D536" s="10" t="inlineStr">
        <is>
          <t>Celular (posible laptop temporal)</t>
        </is>
      </c>
      <c r="E536" s="10" t="inlineStr">
        <is>
          <t>EXPLICITO</t>
        </is>
      </c>
      <c r="F536" s="10" t="inlineStr">
        <is>
          <t>Equipos</t>
        </is>
      </c>
      <c r="G536" s="12">
        <f>IF(B536="","",IFERROR(INDEX(ref_preguntas!$C$2:$C$200,MATCH(B536,ref_preguntas!$A$2:$A$200,0)),"ID no existe"))</f>
        <v/>
      </c>
    </row>
    <row r="537">
      <c r="A537" s="10" t="inlineStr">
        <is>
          <t>MH-034</t>
        </is>
      </c>
      <c r="B537" s="10" t="inlineStr">
        <is>
          <t>P38</t>
        </is>
      </c>
      <c r="C537" s="10" t="inlineStr"/>
      <c r="D537" s="10" t="inlineStr">
        <is>
          <t>NO</t>
        </is>
      </c>
      <c r="E537" s="10" t="inlineStr">
        <is>
          <t>EXPLICITO</t>
        </is>
      </c>
      <c r="F537" s="10" t="inlineStr">
        <is>
          <t>Sin punto de red en barra principal</t>
        </is>
      </c>
      <c r="G537" s="12">
        <f>IF(B537="","",IFERROR(INDEX(ref_preguntas!$C$2:$C$200,MATCH(B537,ref_preguntas!$A$2:$A$200,0)),"ID no existe"))</f>
        <v/>
      </c>
    </row>
    <row r="538">
      <c r="A538" s="10" t="inlineStr">
        <is>
          <t>MH-035</t>
        </is>
      </c>
      <c r="B538" s="10" t="inlineStr">
        <is>
          <t>P22</t>
        </is>
      </c>
      <c r="C538" s="10" t="inlineStr">
        <is>
          <t>L_CAJAS:1</t>
        </is>
      </c>
      <c r="D538" s="10" t="inlineStr">
        <is>
          <t>SI</t>
        </is>
      </c>
      <c r="E538" s="10" t="inlineStr">
        <is>
          <t>EXPLICITO</t>
        </is>
      </c>
      <c r="F538" s="10" t="inlineStr">
        <is>
          <t>PC principal de caja</t>
        </is>
      </c>
      <c r="G538" s="12">
        <f>IF(B538="","",IFERROR(INDEX(ref_preguntas!$C$2:$C$200,MATCH(B538,ref_preguntas!$A$2:$A$200,0)),"ID no existe"))</f>
        <v/>
      </c>
    </row>
    <row r="539">
      <c r="A539" s="10" t="inlineStr">
        <is>
          <t>MH-035</t>
        </is>
      </c>
      <c r="B539" s="10" t="inlineStr">
        <is>
          <t>P26</t>
        </is>
      </c>
      <c r="C539" s="10" t="inlineStr"/>
      <c r="D539" s="10" t="inlineStr">
        <is>
          <t>6</t>
        </is>
      </c>
      <c r="E539" s="10" t="inlineStr">
        <is>
          <t>EXPLICITO</t>
        </is>
      </c>
      <c r="F539" s="10" t="inlineStr">
        <is>
          <t>Caja, makis, frituras, ramen, salteados, pre-cuentas</t>
        </is>
      </c>
      <c r="G539" s="12">
        <f>IF(B539="","",IFERROR(INDEX(ref_preguntas!$C$2:$C$200,MATCH(B539,ref_preguntas!$A$2:$A$200,0)),"ID no existe"))</f>
        <v/>
      </c>
    </row>
    <row r="540">
      <c r="A540" s="10" t="inlineStr">
        <is>
          <t>MH-036</t>
        </is>
      </c>
      <c r="B540" s="10" t="inlineStr">
        <is>
          <t>P22</t>
        </is>
      </c>
      <c r="C540" s="10" t="inlineStr">
        <is>
          <t>L_CAJAS:1</t>
        </is>
      </c>
      <c r="D540" s="10" t="inlineStr">
        <is>
          <t>SI</t>
        </is>
      </c>
      <c r="E540" s="10" t="inlineStr">
        <is>
          <t>EXPLICITO</t>
        </is>
      </c>
      <c r="F540" s="10" t="inlineStr">
        <is>
          <t>PC de caja</t>
        </is>
      </c>
      <c r="G540" s="12">
        <f>IF(B540="","",IFERROR(INDEX(ref_preguntas!$C$2:$C$200,MATCH(B540,ref_preguntas!$A$2:$A$200,0)),"ID no existe"))</f>
        <v/>
      </c>
    </row>
    <row r="541">
      <c r="A541" s="10" t="inlineStr">
        <is>
          <t>MH-036</t>
        </is>
      </c>
      <c r="B541" s="10" t="inlineStr">
        <is>
          <t>P26</t>
        </is>
      </c>
      <c r="C541" s="10" t="inlineStr"/>
      <c r="D541" s="10" t="inlineStr">
        <is>
          <t>5</t>
        </is>
      </c>
      <c r="E541" s="10" t="inlineStr">
        <is>
          <t>EXPLICITO</t>
        </is>
      </c>
      <c r="F541" s="10" t="inlineStr">
        <is>
          <t>Caja, makis, frituras, salteados, ramen</t>
        </is>
      </c>
      <c r="G541" s="12">
        <f>IF(B541="","",IFERROR(INDEX(ref_preguntas!$C$2:$C$200,MATCH(B541,ref_preguntas!$A$2:$A$200,0)),"ID no existe"))</f>
        <v/>
      </c>
    </row>
    <row r="542">
      <c r="A542" s="10" t="inlineStr">
        <is>
          <t>MH-037</t>
        </is>
      </c>
      <c r="B542" s="10" t="inlineStr">
        <is>
          <t>P22</t>
        </is>
      </c>
      <c r="C542" s="10" t="inlineStr">
        <is>
          <t>L_CAJAS:1</t>
        </is>
      </c>
      <c r="D542" s="10" t="inlineStr">
        <is>
          <t>SI</t>
        </is>
      </c>
      <c r="E542" s="10" t="inlineStr">
        <is>
          <t>EXPLICITO</t>
        </is>
      </c>
      <c r="F542" s="10" t="inlineStr">
        <is>
          <t>PC de caja</t>
        </is>
      </c>
      <c r="G542" s="12">
        <f>IF(B542="","",IFERROR(INDEX(ref_preguntas!$C$2:$C$200,MATCH(B542,ref_preguntas!$A$2:$A$200,0)),"ID no existe"))</f>
        <v/>
      </c>
    </row>
    <row r="543">
      <c r="A543" s="10" t="inlineStr">
        <is>
          <t>MH-037</t>
        </is>
      </c>
      <c r="B543" s="10" t="inlineStr">
        <is>
          <t>P26</t>
        </is>
      </c>
      <c r="C543" s="10" t="inlineStr"/>
      <c r="D543" s="10" t="inlineStr">
        <is>
          <t>5</t>
        </is>
      </c>
      <c r="E543" s="10" t="inlineStr">
        <is>
          <t>EXPLICITO</t>
        </is>
      </c>
      <c r="F543" s="10" t="inlineStr">
        <is>
          <t>Caja, makis, fritura, salteado, ramen</t>
        </is>
      </c>
      <c r="G543" s="12">
        <f>IF(B543="","",IFERROR(INDEX(ref_preguntas!$C$2:$C$200,MATCH(B543,ref_preguntas!$A$2:$A$200,0)),"ID no existe"))</f>
        <v/>
      </c>
    </row>
    <row r="544">
      <c r="A544" s="10" t="inlineStr">
        <is>
          <t>MH-037</t>
        </is>
      </c>
      <c r="B544" s="10" t="inlineStr">
        <is>
          <t>P47</t>
        </is>
      </c>
      <c r="C544" s="10" t="inlineStr"/>
      <c r="D544" s="10" t="inlineStr">
        <is>
          <t>SI</t>
        </is>
      </c>
      <c r="E544" s="10" t="inlineStr">
        <is>
          <t>EXPLICITO</t>
        </is>
      </c>
      <c r="F544" s="10" t="inlineStr">
        <is>
          <t>Cámaras en el switch</t>
        </is>
      </c>
      <c r="G544" s="12">
        <f>IF(B544="","",IFERROR(INDEX(ref_preguntas!$C$2:$C$200,MATCH(B544,ref_preguntas!$A$2:$A$200,0)),"ID no existe"))</f>
        <v/>
      </c>
    </row>
    <row r="545">
      <c r="A545" s="10" t="inlineStr">
        <is>
          <t>MH-038</t>
        </is>
      </c>
      <c r="B545" s="10" t="inlineStr">
        <is>
          <t>P22</t>
        </is>
      </c>
      <c r="C545" s="10" t="inlineStr">
        <is>
          <t>L_CAJAS:1</t>
        </is>
      </c>
      <c r="D545" s="10" t="inlineStr">
        <is>
          <t>SI</t>
        </is>
      </c>
      <c r="E545" s="10" t="inlineStr">
        <is>
          <t>EXPLICITO</t>
        </is>
      </c>
      <c r="F545" s="10" t="inlineStr">
        <is>
          <t>PC de caja</t>
        </is>
      </c>
      <c r="G545" s="12">
        <f>IF(B545="","",IFERROR(INDEX(ref_preguntas!$C$2:$C$200,MATCH(B545,ref_preguntas!$A$2:$A$200,0)),"ID no existe"))</f>
        <v/>
      </c>
    </row>
    <row r="546">
      <c r="A546" s="10" t="inlineStr">
        <is>
          <t>MH-038</t>
        </is>
      </c>
      <c r="B546" s="10" t="inlineStr">
        <is>
          <t>P26</t>
        </is>
      </c>
      <c r="C546" s="10" t="inlineStr"/>
      <c r="D546" s="10" t="inlineStr">
        <is>
          <t>5</t>
        </is>
      </c>
      <c r="E546" s="10" t="inlineStr">
        <is>
          <t>EXPLICITO</t>
        </is>
      </c>
      <c r="F546" s="10" t="inlineStr">
        <is>
          <t>Caja, makis, frituras, salteados, ramen</t>
        </is>
      </c>
      <c r="G546" s="12">
        <f>IF(B546="","",IFERROR(INDEX(ref_preguntas!$C$2:$C$200,MATCH(B546,ref_preguntas!$A$2:$A$200,0)),"ID no existe"))</f>
        <v/>
      </c>
    </row>
    <row r="547">
      <c r="A547" s="10" t="inlineStr">
        <is>
          <t>MH-038</t>
        </is>
      </c>
      <c r="B547" s="10" t="inlineStr">
        <is>
          <t>P47</t>
        </is>
      </c>
      <c r="C547" s="10" t="inlineStr"/>
      <c r="D547" s="10" t="inlineStr">
        <is>
          <t>SI</t>
        </is>
      </c>
      <c r="E547" s="10" t="inlineStr">
        <is>
          <t>EXPLICITO</t>
        </is>
      </c>
      <c r="F547" s="10" t="inlineStr">
        <is>
          <t>Cámaras en el switch</t>
        </is>
      </c>
      <c r="G547" s="12">
        <f>IF(B547="","",IFERROR(INDEX(ref_preguntas!$C$2:$C$200,MATCH(B547,ref_preguntas!$A$2:$A$200,0)),"ID no existe"))</f>
        <v/>
      </c>
    </row>
    <row r="548">
      <c r="A548" s="10" t="inlineStr">
        <is>
          <t>MH-039</t>
        </is>
      </c>
      <c r="B548" s="10" t="inlineStr">
        <is>
          <t>P22</t>
        </is>
      </c>
      <c r="C548" s="10" t="inlineStr">
        <is>
          <t>L_CAJAS:1</t>
        </is>
      </c>
      <c r="D548" s="10" t="inlineStr">
        <is>
          <t>SI</t>
        </is>
      </c>
      <c r="E548" s="10" t="inlineStr">
        <is>
          <t>EXPLICITO</t>
        </is>
      </c>
      <c r="F548" s="10" t="inlineStr">
        <is>
          <t>PC Caleta 01</t>
        </is>
      </c>
      <c r="G548" s="12">
        <f>IF(B548="","",IFERROR(INDEX(ref_preguntas!$C$2:$C$200,MATCH(B548,ref_preguntas!$A$2:$A$200,0)),"ID no existe"))</f>
        <v/>
      </c>
    </row>
    <row r="549">
      <c r="A549" s="10" t="inlineStr">
        <is>
          <t>MH-039</t>
        </is>
      </c>
      <c r="B549" s="10" t="inlineStr">
        <is>
          <t>P22</t>
        </is>
      </c>
      <c r="C549" s="10" t="inlineStr">
        <is>
          <t>L_CAJAS:2</t>
        </is>
      </c>
      <c r="D549" s="10" t="inlineStr">
        <is>
          <t>SI</t>
        </is>
      </c>
      <c r="E549" s="10" t="inlineStr">
        <is>
          <t>EXPLICITO</t>
        </is>
      </c>
      <c r="F549" s="10" t="inlineStr">
        <is>
          <t>PC Caleta 02</t>
        </is>
      </c>
      <c r="G549" s="12">
        <f>IF(B549="","",IFERROR(INDEX(ref_preguntas!$C$2:$C$200,MATCH(B549,ref_preguntas!$A$2:$A$200,0)),"ID no existe"))</f>
        <v/>
      </c>
    </row>
    <row r="550">
      <c r="A550" s="10" t="inlineStr">
        <is>
          <t>MH-039</t>
        </is>
      </c>
      <c r="B550" s="10" t="inlineStr">
        <is>
          <t>P26</t>
        </is>
      </c>
      <c r="C550" s="10" t="inlineStr"/>
      <c r="D550" s="10" t="inlineStr">
        <is>
          <t>2</t>
        </is>
      </c>
      <c r="E550" s="10" t="inlineStr">
        <is>
          <t>EXPLICITO</t>
        </is>
      </c>
      <c r="F550" s="10" t="inlineStr">
        <is>
          <t>Impresoras Caleta 01 y 02</t>
        </is>
      </c>
      <c r="G550" s="12">
        <f>IF(B550="","",IFERROR(INDEX(ref_preguntas!$C$2:$C$200,MATCH(B550,ref_preguntas!$A$2:$A$200,0)),"ID no existe"))</f>
        <v/>
      </c>
    </row>
    <row r="551">
      <c r="A551" s="10" t="inlineStr">
        <is>
          <t>MH-040</t>
        </is>
      </c>
      <c r="B551" s="10" t="inlineStr">
        <is>
          <t>P45</t>
        </is>
      </c>
      <c r="C551" s="10" t="inlineStr"/>
      <c r="D551" s="10" t="inlineStr">
        <is>
          <t>SI</t>
        </is>
      </c>
      <c r="E551" s="10" t="inlineStr">
        <is>
          <t>EXPLICITO</t>
        </is>
      </c>
      <c r="F551" s="10" t="inlineStr">
        <is>
          <t>Repetidor de red</t>
        </is>
      </c>
      <c r="G551" s="12">
        <f>IF(B551="","",IFERROR(INDEX(ref_preguntas!$C$2:$C$200,MATCH(B551,ref_preguntas!$A$2:$A$200,0)),"ID no existe"))</f>
        <v/>
      </c>
    </row>
    <row r="552">
      <c r="A552" s="10" t="inlineStr">
        <is>
          <t>MH-040</t>
        </is>
      </c>
      <c r="B552" s="10" t="inlineStr">
        <is>
          <t>P26</t>
        </is>
      </c>
      <c r="C552" s="10" t="inlineStr"/>
      <c r="D552" s="10" t="inlineStr">
        <is>
          <t>2</t>
        </is>
      </c>
      <c r="E552" s="10" t="inlineStr">
        <is>
          <t>EXPLICITO</t>
        </is>
      </c>
      <c r="F552" s="10" t="inlineStr">
        <is>
          <t>Bar (Caja) y cocina</t>
        </is>
      </c>
      <c r="G552" s="12">
        <f>IF(B552="","",IFERROR(INDEX(ref_preguntas!$C$2:$C$200,MATCH(B552,ref_preguntas!$A$2:$A$200,0)),"ID no existe"))</f>
        <v/>
      </c>
    </row>
    <row r="553">
      <c r="A553" s="10" t="inlineStr">
        <is>
          <t>MH-041</t>
        </is>
      </c>
      <c r="B553" s="10" t="inlineStr">
        <is>
          <t>P38</t>
        </is>
      </c>
      <c r="C553" s="10" t="inlineStr"/>
      <c r="D553" s="10" t="inlineStr">
        <is>
          <t>NO</t>
        </is>
      </c>
      <c r="E553" s="10" t="inlineStr">
        <is>
          <t>EXPLICITO</t>
        </is>
      </c>
      <c r="F553" s="10" t="inlineStr">
        <is>
          <t>No hay cableado de red</t>
        </is>
      </c>
      <c r="G553" s="12">
        <f>IF(B553="","",IFERROR(INDEX(ref_preguntas!$C$2:$C$200,MATCH(B553,ref_preguntas!$A$2:$A$200,0)),"ID no existe"))</f>
        <v/>
      </c>
    </row>
    <row r="554">
      <c r="A554" s="10" t="inlineStr">
        <is>
          <t>MH-042</t>
        </is>
      </c>
      <c r="B554" s="10" t="inlineStr">
        <is>
          <t>P26</t>
        </is>
      </c>
      <c r="C554" s="10" t="inlineStr"/>
      <c r="D554" s="10" t="inlineStr">
        <is>
          <t>1</t>
        </is>
      </c>
      <c r="E554" s="10" t="inlineStr">
        <is>
          <t>INFERIDO</t>
        </is>
      </c>
      <c r="F554" s="10" t="inlineStr">
        <is>
          <t>Impresora conectada al router</t>
        </is>
      </c>
      <c r="G554" s="12">
        <f>IF(B554="","",IFERROR(INDEX(ref_preguntas!$C$2:$C$200,MATCH(B554,ref_preguntas!$A$2:$A$200,0)),"ID no existe"))</f>
        <v/>
      </c>
    </row>
    <row r="555">
      <c r="A555" s="10" t="inlineStr">
        <is>
          <t>MH-043</t>
        </is>
      </c>
      <c r="B555" s="10" t="inlineStr">
        <is>
          <t>P22</t>
        </is>
      </c>
      <c r="C555" s="10" t="inlineStr">
        <is>
          <t>L_CAJAS:1</t>
        </is>
      </c>
      <c r="D555" s="10" t="inlineStr">
        <is>
          <t>SI</t>
        </is>
      </c>
      <c r="E555" s="10" t="inlineStr">
        <is>
          <t>EXPLICITO</t>
        </is>
      </c>
      <c r="F555" s="10" t="inlineStr">
        <is>
          <t>Terminal ICG FlatPosII</t>
        </is>
      </c>
      <c r="G555" s="12">
        <f>IF(B555="","",IFERROR(INDEX(ref_preguntas!$C$2:$C$200,MATCH(B555,ref_preguntas!$A$2:$A$200,0)),"ID no existe"))</f>
        <v/>
      </c>
    </row>
    <row r="556">
      <c r="A556" s="10" t="inlineStr">
        <is>
          <t>MH-043</t>
        </is>
      </c>
      <c r="B556" s="10" t="inlineStr">
        <is>
          <t>P22</t>
        </is>
      </c>
      <c r="C556" s="10" t="inlineStr">
        <is>
          <t>L_CAJAS:2</t>
        </is>
      </c>
      <c r="D556" s="10" t="inlineStr">
        <is>
          <t>SI</t>
        </is>
      </c>
      <c r="E556" s="10" t="inlineStr">
        <is>
          <t>EXPLICITO</t>
        </is>
      </c>
      <c r="F556" s="10" t="inlineStr">
        <is>
          <t>Terminal ICG FlatPosII</t>
        </is>
      </c>
      <c r="G556" s="12">
        <f>IF(B556="","",IFERROR(INDEX(ref_preguntas!$C$2:$C$200,MATCH(B556,ref_preguntas!$A$2:$A$200,0)),"ID no existe"))</f>
        <v/>
      </c>
    </row>
    <row r="557">
      <c r="A557" s="10" t="inlineStr">
        <is>
          <t>MH-043</t>
        </is>
      </c>
      <c r="B557" s="10" t="inlineStr">
        <is>
          <t>P23</t>
        </is>
      </c>
      <c r="C557" s="10" t="inlineStr">
        <is>
          <t>L_CAJAS:1</t>
        </is>
      </c>
      <c r="D557" s="10" t="inlineStr">
        <is>
          <t>CABLE_RED</t>
        </is>
      </c>
      <c r="E557" s="10" t="inlineStr">
        <is>
          <t>EXPLICITO</t>
        </is>
      </c>
      <c r="F557" s="10" t="inlineStr">
        <is>
          <t>Ethernet</t>
        </is>
      </c>
      <c r="G557" s="12">
        <f>IF(B557="","",IFERROR(INDEX(ref_preguntas!$C$2:$C$200,MATCH(B557,ref_preguntas!$A$2:$A$200,0)),"ID no existe"))</f>
        <v/>
      </c>
    </row>
    <row r="558">
      <c r="A558" s="10" t="inlineStr">
        <is>
          <t>MH-043</t>
        </is>
      </c>
      <c r="B558" s="10" t="inlineStr">
        <is>
          <t>P23</t>
        </is>
      </c>
      <c r="C558" s="10" t="inlineStr">
        <is>
          <t>L_CAJAS:2</t>
        </is>
      </c>
      <c r="D558" s="10" t="inlineStr">
        <is>
          <t>CABLE_RED</t>
        </is>
      </c>
      <c r="E558" s="10" t="inlineStr">
        <is>
          <t>EXPLICITO</t>
        </is>
      </c>
      <c r="F558" s="10" t="inlineStr">
        <is>
          <t>Ethernet</t>
        </is>
      </c>
      <c r="G558" s="12">
        <f>IF(B558="","",IFERROR(INDEX(ref_preguntas!$C$2:$C$200,MATCH(B558,ref_preguntas!$A$2:$A$200,0)),"ID no existe"))</f>
        <v/>
      </c>
    </row>
    <row r="559">
      <c r="A559" s="10" t="inlineStr">
        <is>
          <t>MH-043</t>
        </is>
      </c>
      <c r="B559" s="10" t="inlineStr">
        <is>
          <t>P22h</t>
        </is>
      </c>
      <c r="C559" s="10" t="inlineStr">
        <is>
          <t>L_CAJAS:1</t>
        </is>
      </c>
      <c r="D559" s="10" t="inlineStr">
        <is>
          <t>BALANZA, ESCANER, GAVETA, POS_PAGO</t>
        </is>
      </c>
      <c r="E559" s="10" t="inlineStr">
        <is>
          <t>EXPLICITO</t>
        </is>
      </c>
      <c r="F559" s="10" t="inlineStr">
        <is>
          <t>Periféricos Caja 01</t>
        </is>
      </c>
      <c r="G559" s="12">
        <f>IF(B559="","",IFERROR(INDEX(ref_preguntas!$C$2:$C$200,MATCH(B559,ref_preguntas!$A$2:$A$200,0)),"ID no existe"))</f>
        <v/>
      </c>
    </row>
    <row r="560">
      <c r="A560" s="10" t="inlineStr">
        <is>
          <t>MH-043</t>
        </is>
      </c>
      <c r="B560" s="10" t="inlineStr">
        <is>
          <t>P22h</t>
        </is>
      </c>
      <c r="C560" s="10" t="inlineStr">
        <is>
          <t>L_CAJAS:2</t>
        </is>
      </c>
      <c r="D560" s="10" t="inlineStr">
        <is>
          <t>BALANZA, ESCANER, GAVETA, IMPRESORA_ETIQUETAS, POS_PAGO</t>
        </is>
      </c>
      <c r="E560" s="10" t="inlineStr">
        <is>
          <t>EXPLICITO</t>
        </is>
      </c>
      <c r="F560" s="10" t="inlineStr">
        <is>
          <t>Periféricos Caja 02</t>
        </is>
      </c>
      <c r="G560" s="12">
        <f>IF(B560="","",IFERROR(INDEX(ref_preguntas!$C$2:$C$200,MATCH(B560,ref_preguntas!$A$2:$A$200,0)),"ID no existe"))</f>
        <v/>
      </c>
    </row>
    <row r="561">
      <c r="A561" s="10" t="inlineStr">
        <is>
          <t>MH-044</t>
        </is>
      </c>
      <c r="B561" s="10" t="inlineStr">
        <is>
          <t>P22</t>
        </is>
      </c>
      <c r="C561" s="10" t="inlineStr">
        <is>
          <t>L_CAJAS:1</t>
        </is>
      </c>
      <c r="D561" s="10" t="inlineStr">
        <is>
          <t>TABLET</t>
        </is>
      </c>
      <c r="E561" s="10" t="inlineStr">
        <is>
          <t>INFERIDO</t>
        </is>
      </c>
      <c r="F561" s="10" t="inlineStr">
        <is>
          <t>Tablet para realizar pedidos</t>
        </is>
      </c>
      <c r="G561" s="12">
        <f>IF(B561="","",IFERROR(INDEX(ref_preguntas!$C$2:$C$200,MATCH(B561,ref_preguntas!$A$2:$A$200,0)),"ID no existe"))</f>
        <v/>
      </c>
    </row>
    <row r="562">
      <c r="A562" s="10" t="inlineStr">
        <is>
          <t>MH-044</t>
        </is>
      </c>
      <c r="B562" s="10" t="inlineStr">
        <is>
          <t>P26</t>
        </is>
      </c>
      <c r="C562" s="10" t="inlineStr"/>
      <c r="D562" s="10" t="inlineStr">
        <is>
          <t>2</t>
        </is>
      </c>
      <c r="E562" s="10" t="inlineStr">
        <is>
          <t>EXPLICITO</t>
        </is>
      </c>
      <c r="F562" s="10" t="inlineStr">
        <is>
          <t>Impresoras bar y cocina</t>
        </is>
      </c>
      <c r="G562" s="12">
        <f>IF(B562="","",IFERROR(INDEX(ref_preguntas!$C$2:$C$200,MATCH(B562,ref_preguntas!$A$2:$A$200,0)),"ID no existe"))</f>
        <v/>
      </c>
    </row>
    <row r="563">
      <c r="A563" s="10" t="inlineStr">
        <is>
          <t>MH-002</t>
        </is>
      </c>
      <c r="B563" s="10" t="inlineStr">
        <is>
          <t>P08</t>
        </is>
      </c>
      <c r="C563" s="10" t="inlineStr"/>
      <c r="D563" s="10" t="inlineStr">
        <is>
          <t>EN_OPERACION</t>
        </is>
      </c>
      <c r="E563" s="10" t="inlineStr">
        <is>
          <t>INFERIDO</t>
        </is>
      </c>
      <c r="F563" s="10" t="inlineStr">
        <is>
          <t>Antecedentes / desarrollo</t>
        </is>
      </c>
      <c r="G563" s="12">
        <f>IF(B563="","",IFERROR(INDEX(ref_preguntas!$C$2:$C$200,MATCH(B563,ref_preguntas!$A$2:$A$200,0)),"ID no existe"))</f>
        <v/>
      </c>
    </row>
    <row r="564">
      <c r="A564" s="10" t="inlineStr">
        <is>
          <t>MH-003</t>
        </is>
      </c>
      <c r="B564" s="10" t="inlineStr">
        <is>
          <t>P08</t>
        </is>
      </c>
      <c r="C564" s="10" t="inlineStr"/>
      <c r="D564" s="10" t="inlineStr">
        <is>
          <t>EN_OPERACION</t>
        </is>
      </c>
      <c r="E564" s="10" t="inlineStr">
        <is>
          <t>INFERIDO</t>
        </is>
      </c>
      <c r="F564" s="10" t="inlineStr">
        <is>
          <t>Antecedentes / desarrollo</t>
        </is>
      </c>
      <c r="G564" s="12">
        <f>IF(B564="","",IFERROR(INDEX(ref_preguntas!$C$2:$C$200,MATCH(B564,ref_preguntas!$A$2:$A$200,0)),"ID no existe"))</f>
        <v/>
      </c>
    </row>
    <row r="565">
      <c r="A565" s="10" t="inlineStr">
        <is>
          <t>MH-005</t>
        </is>
      </c>
      <c r="B565" s="10" t="inlineStr">
        <is>
          <t>P08</t>
        </is>
      </c>
      <c r="C565" s="10" t="inlineStr"/>
      <c r="D565" s="10" t="inlineStr">
        <is>
          <t>EN_OPERACION</t>
        </is>
      </c>
      <c r="E565" s="10" t="inlineStr">
        <is>
          <t>INFERIDO</t>
        </is>
      </c>
      <c r="F565" s="10" t="inlineStr">
        <is>
          <t>Antecedentes / desarrollo</t>
        </is>
      </c>
      <c r="G565" s="12">
        <f>IF(B565="","",IFERROR(INDEX(ref_preguntas!$C$2:$C$200,MATCH(B565,ref_preguntas!$A$2:$A$200,0)),"ID no existe"))</f>
        <v/>
      </c>
    </row>
    <row r="566">
      <c r="A566" s="10" t="inlineStr">
        <is>
          <t>MH-006</t>
        </is>
      </c>
      <c r="B566" s="10" t="inlineStr">
        <is>
          <t>P08</t>
        </is>
      </c>
      <c r="C566" s="10" t="inlineStr"/>
      <c r="D566" s="10" t="inlineStr">
        <is>
          <t>EN_OPERACION</t>
        </is>
      </c>
      <c r="E566" s="10" t="inlineStr">
        <is>
          <t>INFERIDO</t>
        </is>
      </c>
      <c r="F566" s="10" t="inlineStr">
        <is>
          <t>Antecedentes / desarrollo</t>
        </is>
      </c>
      <c r="G566" s="12">
        <f>IF(B566="","",IFERROR(INDEX(ref_preguntas!$C$2:$C$200,MATCH(B566,ref_preguntas!$A$2:$A$200,0)),"ID no existe"))</f>
        <v/>
      </c>
    </row>
    <row r="567">
      <c r="A567" s="10" t="inlineStr">
        <is>
          <t>MH-007</t>
        </is>
      </c>
      <c r="B567" s="10" t="inlineStr">
        <is>
          <t>P08</t>
        </is>
      </c>
      <c r="C567" s="10" t="inlineStr"/>
      <c r="D567" s="10" t="inlineStr">
        <is>
          <t>POR_INAUGURAR</t>
        </is>
      </c>
      <c r="E567" s="10" t="inlineStr">
        <is>
          <t>INFERIDO</t>
        </is>
      </c>
      <c r="F567" s="10" t="inlineStr">
        <is>
          <t>Antecedentes / desarrollo</t>
        </is>
      </c>
      <c r="G567" s="12">
        <f>IF(B567="","",IFERROR(INDEX(ref_preguntas!$C$2:$C$200,MATCH(B567,ref_preguntas!$A$2:$A$200,0)),"ID no existe"))</f>
        <v/>
      </c>
    </row>
    <row r="568">
      <c r="A568" s="10" t="inlineStr">
        <is>
          <t>MH-008</t>
        </is>
      </c>
      <c r="B568" s="10" t="inlineStr">
        <is>
          <t>P08</t>
        </is>
      </c>
      <c r="C568" s="10" t="inlineStr"/>
      <c r="D568" s="10" t="inlineStr">
        <is>
          <t>EN_OPERACION</t>
        </is>
      </c>
      <c r="E568" s="10" t="inlineStr">
        <is>
          <t>INFERIDO</t>
        </is>
      </c>
      <c r="F568" s="10" t="inlineStr">
        <is>
          <t>Antecedentes / desarrollo</t>
        </is>
      </c>
      <c r="G568" s="12">
        <f>IF(B568="","",IFERROR(INDEX(ref_preguntas!$C$2:$C$200,MATCH(B568,ref_preguntas!$A$2:$A$200,0)),"ID no existe"))</f>
        <v/>
      </c>
    </row>
    <row r="569">
      <c r="A569" s="10" t="inlineStr">
        <is>
          <t>MH-021</t>
        </is>
      </c>
      <c r="B569" s="10" t="inlineStr">
        <is>
          <t>P08</t>
        </is>
      </c>
      <c r="C569" s="10" t="inlineStr"/>
      <c r="D569" s="10" t="inlineStr">
        <is>
          <t>POR_INAUGURAR</t>
        </is>
      </c>
      <c r="E569" s="10" t="inlineStr">
        <is>
          <t>INFERIDO</t>
        </is>
      </c>
      <c r="F569" s="10" t="inlineStr">
        <is>
          <t>Antecedentes / desarrollo</t>
        </is>
      </c>
      <c r="G569" s="12">
        <f>IF(B569="","",IFERROR(INDEX(ref_preguntas!$C$2:$C$200,MATCH(B569,ref_preguntas!$A$2:$A$200,0)),"ID no existe"))</f>
        <v/>
      </c>
    </row>
    <row r="570">
      <c r="A570" s="10" t="inlineStr">
        <is>
          <t>MH-026</t>
        </is>
      </c>
      <c r="B570" s="10" t="inlineStr">
        <is>
          <t>P08</t>
        </is>
      </c>
      <c r="C570" s="10" t="inlineStr"/>
      <c r="D570" s="10" t="inlineStr">
        <is>
          <t>EN_OPERACION</t>
        </is>
      </c>
      <c r="E570" s="10" t="inlineStr">
        <is>
          <t>INFERIDO</t>
        </is>
      </c>
      <c r="F570" s="10" t="inlineStr">
        <is>
          <t>Antecedentes / desarrollo</t>
        </is>
      </c>
      <c r="G570" s="12">
        <f>IF(B570="","",IFERROR(INDEX(ref_preguntas!$C$2:$C$200,MATCH(B570,ref_preguntas!$A$2:$A$200,0)),"ID no existe"))</f>
        <v/>
      </c>
    </row>
    <row r="571">
      <c r="A571" s="10" t="inlineStr">
        <is>
          <t>MH-027</t>
        </is>
      </c>
      <c r="B571" s="10" t="inlineStr">
        <is>
          <t>P08</t>
        </is>
      </c>
      <c r="C571" s="10" t="inlineStr"/>
      <c r="D571" s="10" t="inlineStr">
        <is>
          <t>EN_OBRA</t>
        </is>
      </c>
      <c r="E571" s="10" t="inlineStr">
        <is>
          <t>INFERIDO</t>
        </is>
      </c>
      <c r="F571" s="10" t="inlineStr">
        <is>
          <t>Antecedentes / desarrollo</t>
        </is>
      </c>
      <c r="G571" s="12">
        <f>IF(B571="","",IFERROR(INDEX(ref_preguntas!$C$2:$C$200,MATCH(B571,ref_preguntas!$A$2:$A$200,0)),"ID no existe"))</f>
        <v/>
      </c>
    </row>
    <row r="572">
      <c r="A572" s="10" t="inlineStr">
        <is>
          <t>MH-033</t>
        </is>
      </c>
      <c r="B572" s="10" t="inlineStr">
        <is>
          <t>P08</t>
        </is>
      </c>
      <c r="C572" s="10" t="inlineStr"/>
      <c r="D572" s="10" t="inlineStr">
        <is>
          <t>EN_OPERACION</t>
        </is>
      </c>
      <c r="E572" s="10" t="inlineStr">
        <is>
          <t>INFERIDO</t>
        </is>
      </c>
      <c r="F572" s="10" t="inlineStr">
        <is>
          <t>Antecedentes / desarrollo</t>
        </is>
      </c>
      <c r="G572" s="12">
        <f>IF(B572="","",IFERROR(INDEX(ref_preguntas!$C$2:$C$200,MATCH(B572,ref_preguntas!$A$2:$A$200,0)),"ID no existe"))</f>
        <v/>
      </c>
    </row>
    <row r="573">
      <c r="A573" s="10" t="inlineStr">
        <is>
          <t>MH-042</t>
        </is>
      </c>
      <c r="B573" s="10" t="inlineStr">
        <is>
          <t>P08</t>
        </is>
      </c>
      <c r="C573" s="10" t="inlineStr"/>
      <c r="D573" s="10" t="inlineStr">
        <is>
          <t>EN_OPERACION</t>
        </is>
      </c>
      <c r="E573" s="10" t="inlineStr">
        <is>
          <t>INFERIDO</t>
        </is>
      </c>
      <c r="F573" s="10" t="inlineStr">
        <is>
          <t>Antecedentes / desarrollo</t>
        </is>
      </c>
      <c r="G573" s="12">
        <f>IF(B573="","",IFERROR(INDEX(ref_preguntas!$C$2:$C$200,MATCH(B573,ref_preguntas!$A$2:$A$200,0)),"ID no existe"))</f>
        <v/>
      </c>
    </row>
    <row r="574">
      <c r="A574" s="10" t="inlineStr">
        <is>
          <t>MH-043</t>
        </is>
      </c>
      <c r="B574" s="10" t="inlineStr">
        <is>
          <t>P08</t>
        </is>
      </c>
      <c r="C574" s="10" t="inlineStr"/>
      <c r="D574" s="10" t="inlineStr">
        <is>
          <t>SISTEMA_ANTERIOR</t>
        </is>
      </c>
      <c r="E574" s="10" t="inlineStr">
        <is>
          <t>INFERIDO</t>
        </is>
      </c>
      <c r="F574" s="10" t="inlineStr">
        <is>
          <t>Antecedentes / desarrollo</t>
        </is>
      </c>
      <c r="G574" s="12">
        <f>IF(B574="","",IFERROR(INDEX(ref_preguntas!$C$2:$C$200,MATCH(B574,ref_preguntas!$A$2:$A$200,0)),"ID no existe"))</f>
        <v/>
      </c>
    </row>
    <row r="575">
      <c r="A575" s="13" t="n"/>
      <c r="B575" s="13" t="n"/>
      <c r="C575" s="13" t="n"/>
      <c r="D575" s="13" t="n"/>
      <c r="E575" s="13" t="n"/>
      <c r="F575" s="13" t="n"/>
      <c r="G575" s="12">
        <f>IF(B575="","",IFERROR(INDEX(ref_preguntas!$C$2:$C$200,MATCH(B575,ref_preguntas!$A$2:$A$200,0)),"ID no existe"))</f>
        <v/>
      </c>
    </row>
    <row r="576">
      <c r="A576" s="13" t="n"/>
      <c r="B576" s="13" t="n"/>
      <c r="C576" s="13" t="n"/>
      <c r="D576" s="13" t="n"/>
      <c r="E576" s="13" t="n"/>
      <c r="F576" s="13" t="n"/>
      <c r="G576" s="12">
        <f>IF(B576="","",IFERROR(INDEX(ref_preguntas!$C$2:$C$200,MATCH(B576,ref_preguntas!$A$2:$A$200,0)),"ID no existe"))</f>
        <v/>
      </c>
    </row>
    <row r="577">
      <c r="A577" s="13" t="n"/>
      <c r="B577" s="13" t="n"/>
      <c r="C577" s="13" t="n"/>
      <c r="D577" s="13" t="n"/>
      <c r="E577" s="13" t="n"/>
      <c r="F577" s="13" t="n"/>
      <c r="G577" s="12">
        <f>IF(B577="","",IFERROR(INDEX(ref_preguntas!$C$2:$C$200,MATCH(B577,ref_preguntas!$A$2:$A$200,0)),"ID no existe"))</f>
        <v/>
      </c>
    </row>
    <row r="578">
      <c r="A578" s="13" t="n"/>
      <c r="B578" s="13" t="n"/>
      <c r="C578" s="13" t="n"/>
      <c r="D578" s="13" t="n"/>
      <c r="E578" s="13" t="n"/>
      <c r="F578" s="13" t="n"/>
      <c r="G578" s="12">
        <f>IF(B578="","",IFERROR(INDEX(ref_preguntas!$C$2:$C$200,MATCH(B578,ref_preguntas!$A$2:$A$200,0)),"ID no existe"))</f>
        <v/>
      </c>
    </row>
    <row r="579">
      <c r="A579" s="13" t="n"/>
      <c r="B579" s="13" t="n"/>
      <c r="C579" s="13" t="n"/>
      <c r="D579" s="13" t="n"/>
      <c r="E579" s="13" t="n"/>
      <c r="F579" s="13" t="n"/>
      <c r="G579" s="12">
        <f>IF(B579="","",IFERROR(INDEX(ref_preguntas!$C$2:$C$200,MATCH(B579,ref_preguntas!$A$2:$A$200,0)),"ID no existe"))</f>
        <v/>
      </c>
    </row>
    <row r="580">
      <c r="A580" s="13" t="n"/>
      <c r="B580" s="13" t="n"/>
      <c r="C580" s="13" t="n"/>
      <c r="D580" s="13" t="n"/>
      <c r="E580" s="13" t="n"/>
      <c r="F580" s="13" t="n"/>
      <c r="G580" s="12">
        <f>IF(B580="","",IFERROR(INDEX(ref_preguntas!$C$2:$C$200,MATCH(B580,ref_preguntas!$A$2:$A$200,0)),"ID no existe"))</f>
        <v/>
      </c>
    </row>
    <row r="581">
      <c r="A581" s="13" t="n"/>
      <c r="B581" s="13" t="n"/>
      <c r="C581" s="13" t="n"/>
      <c r="D581" s="13" t="n"/>
      <c r="E581" s="13" t="n"/>
      <c r="F581" s="13" t="n"/>
      <c r="G581" s="12">
        <f>IF(B581="","",IFERROR(INDEX(ref_preguntas!$C$2:$C$200,MATCH(B581,ref_preguntas!$A$2:$A$200,0)),"ID no existe"))</f>
        <v/>
      </c>
    </row>
    <row r="582">
      <c r="A582" s="13" t="n"/>
      <c r="B582" s="13" t="n"/>
      <c r="C582" s="13" t="n"/>
      <c r="D582" s="13" t="n"/>
      <c r="E582" s="13" t="n"/>
      <c r="F582" s="13" t="n"/>
      <c r="G582" s="12">
        <f>IF(B582="","",IFERROR(INDEX(ref_preguntas!$C$2:$C$200,MATCH(B582,ref_preguntas!$A$2:$A$200,0)),"ID no existe"))</f>
        <v/>
      </c>
    </row>
    <row r="583">
      <c r="A583" s="13" t="n"/>
      <c r="B583" s="13" t="n"/>
      <c r="C583" s="13" t="n"/>
      <c r="D583" s="13" t="n"/>
      <c r="E583" s="13" t="n"/>
      <c r="F583" s="13" t="n"/>
      <c r="G583" s="12">
        <f>IF(B583="","",IFERROR(INDEX(ref_preguntas!$C$2:$C$200,MATCH(B583,ref_preguntas!$A$2:$A$200,0)),"ID no existe"))</f>
        <v/>
      </c>
    </row>
    <row r="584">
      <c r="A584" s="13" t="n"/>
      <c r="B584" s="13" t="n"/>
      <c r="C584" s="13" t="n"/>
      <c r="D584" s="13" t="n"/>
      <c r="E584" s="13" t="n"/>
      <c r="F584" s="13" t="n"/>
      <c r="G584" s="12">
        <f>IF(B584="","",IFERROR(INDEX(ref_preguntas!$C$2:$C$200,MATCH(B584,ref_preguntas!$A$2:$A$200,0)),"ID no existe"))</f>
        <v/>
      </c>
    </row>
    <row r="585">
      <c r="A585" s="13" t="n"/>
      <c r="B585" s="13" t="n"/>
      <c r="C585" s="13" t="n"/>
      <c r="D585" s="13" t="n"/>
      <c r="E585" s="13" t="n"/>
      <c r="F585" s="13" t="n"/>
      <c r="G585" s="12">
        <f>IF(B585="","",IFERROR(INDEX(ref_preguntas!$C$2:$C$200,MATCH(B585,ref_preguntas!$A$2:$A$200,0)),"ID no existe"))</f>
        <v/>
      </c>
    </row>
    <row r="586">
      <c r="A586" s="13" t="n"/>
      <c r="B586" s="13" t="n"/>
      <c r="C586" s="13" t="n"/>
      <c r="D586" s="13" t="n"/>
      <c r="E586" s="13" t="n"/>
      <c r="F586" s="13" t="n"/>
      <c r="G586" s="12">
        <f>IF(B586="","",IFERROR(INDEX(ref_preguntas!$C$2:$C$200,MATCH(B586,ref_preguntas!$A$2:$A$200,0)),"ID no existe"))</f>
        <v/>
      </c>
    </row>
    <row r="587">
      <c r="A587" s="13" t="n"/>
      <c r="B587" s="13" t="n"/>
      <c r="C587" s="13" t="n"/>
      <c r="D587" s="13" t="n"/>
      <c r="E587" s="13" t="n"/>
      <c r="F587" s="13" t="n"/>
      <c r="G587" s="12">
        <f>IF(B587="","",IFERROR(INDEX(ref_preguntas!$C$2:$C$200,MATCH(B587,ref_preguntas!$A$2:$A$200,0)),"ID no existe"))</f>
        <v/>
      </c>
    </row>
    <row r="588">
      <c r="A588" s="13" t="n"/>
      <c r="B588" s="13" t="n"/>
      <c r="C588" s="13" t="n"/>
      <c r="D588" s="13" t="n"/>
      <c r="E588" s="13" t="n"/>
      <c r="F588" s="13" t="n"/>
      <c r="G588" s="12">
        <f>IF(B588="","",IFERROR(INDEX(ref_preguntas!$C$2:$C$200,MATCH(B588,ref_preguntas!$A$2:$A$200,0)),"ID no existe"))</f>
        <v/>
      </c>
    </row>
    <row r="589">
      <c r="A589" s="13" t="n"/>
      <c r="B589" s="13" t="n"/>
      <c r="C589" s="13" t="n"/>
      <c r="D589" s="13" t="n"/>
      <c r="E589" s="13" t="n"/>
      <c r="F589" s="13" t="n"/>
      <c r="G589" s="12">
        <f>IF(B589="","",IFERROR(INDEX(ref_preguntas!$C$2:$C$200,MATCH(B589,ref_preguntas!$A$2:$A$200,0)),"ID no existe"))</f>
        <v/>
      </c>
    </row>
    <row r="590">
      <c r="A590" s="13" t="n"/>
      <c r="B590" s="13" t="n"/>
      <c r="C590" s="13" t="n"/>
      <c r="D590" s="13" t="n"/>
      <c r="E590" s="13" t="n"/>
      <c r="F590" s="13" t="n"/>
      <c r="G590" s="12">
        <f>IF(B590="","",IFERROR(INDEX(ref_preguntas!$C$2:$C$200,MATCH(B590,ref_preguntas!$A$2:$A$200,0)),"ID no existe"))</f>
        <v/>
      </c>
    </row>
    <row r="591">
      <c r="A591" s="13" t="n"/>
      <c r="B591" s="13" t="n"/>
      <c r="C591" s="13" t="n"/>
      <c r="D591" s="13" t="n"/>
      <c r="E591" s="13" t="n"/>
      <c r="F591" s="13" t="n"/>
      <c r="G591" s="12">
        <f>IF(B591="","",IFERROR(INDEX(ref_preguntas!$C$2:$C$200,MATCH(B591,ref_preguntas!$A$2:$A$200,0)),"ID no existe"))</f>
        <v/>
      </c>
    </row>
    <row r="592">
      <c r="A592" s="13" t="n"/>
      <c r="B592" s="13" t="n"/>
      <c r="C592" s="13" t="n"/>
      <c r="D592" s="13" t="n"/>
      <c r="E592" s="13" t="n"/>
      <c r="F592" s="13" t="n"/>
      <c r="G592" s="12">
        <f>IF(B592="","",IFERROR(INDEX(ref_preguntas!$C$2:$C$200,MATCH(B592,ref_preguntas!$A$2:$A$200,0)),"ID no existe"))</f>
        <v/>
      </c>
    </row>
    <row r="593">
      <c r="A593" s="13" t="n"/>
      <c r="B593" s="13" t="n"/>
      <c r="C593" s="13" t="n"/>
      <c r="D593" s="13" t="n"/>
      <c r="E593" s="13" t="n"/>
      <c r="F593" s="13" t="n"/>
      <c r="G593" s="12">
        <f>IF(B593="","",IFERROR(INDEX(ref_preguntas!$C$2:$C$200,MATCH(B593,ref_preguntas!$A$2:$A$200,0)),"ID no existe"))</f>
        <v/>
      </c>
    </row>
    <row r="594">
      <c r="A594" s="13" t="n"/>
      <c r="B594" s="13" t="n"/>
      <c r="C594" s="13" t="n"/>
      <c r="D594" s="13" t="n"/>
      <c r="E594" s="13" t="n"/>
      <c r="F594" s="13" t="n"/>
      <c r="G594" s="12">
        <f>IF(B594="","",IFERROR(INDEX(ref_preguntas!$C$2:$C$200,MATCH(B594,ref_preguntas!$A$2:$A$200,0)),"ID no existe"))</f>
        <v/>
      </c>
    </row>
    <row r="595">
      <c r="A595" s="13" t="n"/>
      <c r="B595" s="13" t="n"/>
      <c r="C595" s="13" t="n"/>
      <c r="D595" s="13" t="n"/>
      <c r="E595" s="13" t="n"/>
      <c r="F595" s="13" t="n"/>
      <c r="G595" s="12">
        <f>IF(B595="","",IFERROR(INDEX(ref_preguntas!$C$2:$C$200,MATCH(B595,ref_preguntas!$A$2:$A$200,0)),"ID no existe"))</f>
        <v/>
      </c>
    </row>
    <row r="596">
      <c r="A596" s="13" t="n"/>
      <c r="B596" s="13" t="n"/>
      <c r="C596" s="13" t="n"/>
      <c r="D596" s="13" t="n"/>
      <c r="E596" s="13" t="n"/>
      <c r="F596" s="13" t="n"/>
      <c r="G596" s="12">
        <f>IF(B596="","",IFERROR(INDEX(ref_preguntas!$C$2:$C$200,MATCH(B596,ref_preguntas!$A$2:$A$200,0)),"ID no existe"))</f>
        <v/>
      </c>
    </row>
    <row r="597">
      <c r="A597" s="13" t="n"/>
      <c r="B597" s="13" t="n"/>
      <c r="C597" s="13" t="n"/>
      <c r="D597" s="13" t="n"/>
      <c r="E597" s="13" t="n"/>
      <c r="F597" s="13" t="n"/>
      <c r="G597" s="12">
        <f>IF(B597="","",IFERROR(INDEX(ref_preguntas!$C$2:$C$200,MATCH(B597,ref_preguntas!$A$2:$A$200,0)),"ID no existe"))</f>
        <v/>
      </c>
    </row>
    <row r="598">
      <c r="A598" s="13" t="n"/>
      <c r="B598" s="13" t="n"/>
      <c r="C598" s="13" t="n"/>
      <c r="D598" s="13" t="n"/>
      <c r="E598" s="13" t="n"/>
      <c r="F598" s="13" t="n"/>
      <c r="G598" s="12">
        <f>IF(B598="","",IFERROR(INDEX(ref_preguntas!$C$2:$C$200,MATCH(B598,ref_preguntas!$A$2:$A$200,0)),"ID no existe"))</f>
        <v/>
      </c>
    </row>
    <row r="599">
      <c r="A599" s="13" t="n"/>
      <c r="B599" s="13" t="n"/>
      <c r="C599" s="13" t="n"/>
      <c r="D599" s="13" t="n"/>
      <c r="E599" s="13" t="n"/>
      <c r="F599" s="13" t="n"/>
      <c r="G599" s="12">
        <f>IF(B599="","",IFERROR(INDEX(ref_preguntas!$C$2:$C$200,MATCH(B599,ref_preguntas!$A$2:$A$200,0)),"ID no existe"))</f>
        <v/>
      </c>
    </row>
    <row r="600">
      <c r="A600" s="13" t="n"/>
      <c r="B600" s="13" t="n"/>
      <c r="C600" s="13" t="n"/>
      <c r="D600" s="13" t="n"/>
      <c r="E600" s="13" t="n"/>
      <c r="F600" s="13" t="n"/>
      <c r="G600" s="12">
        <f>IF(B600="","",IFERROR(INDEX(ref_preguntas!$C$2:$C$200,MATCH(B600,ref_preguntas!$A$2:$A$200,0)),"ID no existe"))</f>
        <v/>
      </c>
    </row>
    <row r="601">
      <c r="A601" s="13" t="n"/>
      <c r="B601" s="13" t="n"/>
      <c r="C601" s="13" t="n"/>
      <c r="D601" s="13" t="n"/>
      <c r="E601" s="13" t="n"/>
      <c r="F601" s="13" t="n"/>
      <c r="G601" s="12">
        <f>IF(B601="","",IFERROR(INDEX(ref_preguntas!$C$2:$C$200,MATCH(B601,ref_preguntas!$A$2:$A$200,0)),"ID no existe"))</f>
        <v/>
      </c>
    </row>
    <row r="602">
      <c r="A602" s="13" t="n"/>
      <c r="B602" s="13" t="n"/>
      <c r="C602" s="13" t="n"/>
      <c r="D602" s="13" t="n"/>
      <c r="E602" s="13" t="n"/>
      <c r="F602" s="13" t="n"/>
      <c r="G602" s="12">
        <f>IF(B602="","",IFERROR(INDEX(ref_preguntas!$C$2:$C$200,MATCH(B602,ref_preguntas!$A$2:$A$200,0)),"ID no existe"))</f>
        <v/>
      </c>
    </row>
    <row r="603">
      <c r="A603" s="13" t="n"/>
      <c r="B603" s="13" t="n"/>
      <c r="C603" s="13" t="n"/>
      <c r="D603" s="13" t="n"/>
      <c r="E603" s="13" t="n"/>
      <c r="F603" s="13" t="n"/>
      <c r="G603" s="12">
        <f>IF(B603="","",IFERROR(INDEX(ref_preguntas!$C$2:$C$200,MATCH(B603,ref_preguntas!$A$2:$A$200,0)),"ID no existe"))</f>
        <v/>
      </c>
    </row>
    <row r="604">
      <c r="A604" s="13" t="n"/>
      <c r="B604" s="13" t="n"/>
      <c r="C604" s="13" t="n"/>
      <c r="D604" s="13" t="n"/>
      <c r="E604" s="13" t="n"/>
      <c r="F604" s="13" t="n"/>
      <c r="G604" s="12">
        <f>IF(B604="","",IFERROR(INDEX(ref_preguntas!$C$2:$C$200,MATCH(B604,ref_preguntas!$A$2:$A$200,0)),"ID no existe"))</f>
        <v/>
      </c>
    </row>
    <row r="605">
      <c r="A605" s="13" t="n"/>
      <c r="B605" s="13" t="n"/>
      <c r="C605" s="13" t="n"/>
      <c r="D605" s="13" t="n"/>
      <c r="E605" s="13" t="n"/>
      <c r="F605" s="13" t="n"/>
      <c r="G605" s="12">
        <f>IF(B605="","",IFERROR(INDEX(ref_preguntas!$C$2:$C$200,MATCH(B605,ref_preguntas!$A$2:$A$200,0)),"ID no existe"))</f>
        <v/>
      </c>
    </row>
    <row r="606">
      <c r="A606" s="13" t="n"/>
      <c r="B606" s="13" t="n"/>
      <c r="C606" s="13" t="n"/>
      <c r="D606" s="13" t="n"/>
      <c r="E606" s="13" t="n"/>
      <c r="F606" s="13" t="n"/>
      <c r="G606" s="12">
        <f>IF(B606="","",IFERROR(INDEX(ref_preguntas!$C$2:$C$200,MATCH(B606,ref_preguntas!$A$2:$A$200,0)),"ID no existe"))</f>
        <v/>
      </c>
    </row>
    <row r="607">
      <c r="A607" s="13" t="n"/>
      <c r="B607" s="13" t="n"/>
      <c r="C607" s="13" t="n"/>
      <c r="D607" s="13" t="n"/>
      <c r="E607" s="13" t="n"/>
      <c r="F607" s="13" t="n"/>
      <c r="G607" s="12">
        <f>IF(B607="","",IFERROR(INDEX(ref_preguntas!$C$2:$C$200,MATCH(B607,ref_preguntas!$A$2:$A$200,0)),"ID no existe"))</f>
        <v/>
      </c>
    </row>
    <row r="608">
      <c r="A608" s="13" t="n"/>
      <c r="B608" s="13" t="n"/>
      <c r="C608" s="13" t="n"/>
      <c r="D608" s="13" t="n"/>
      <c r="E608" s="13" t="n"/>
      <c r="F608" s="13" t="n"/>
      <c r="G608" s="12">
        <f>IF(B608="","",IFERROR(INDEX(ref_preguntas!$C$2:$C$200,MATCH(B608,ref_preguntas!$A$2:$A$200,0)),"ID no existe"))</f>
        <v/>
      </c>
    </row>
    <row r="609">
      <c r="A609" s="13" t="n"/>
      <c r="B609" s="13" t="n"/>
      <c r="C609" s="13" t="n"/>
      <c r="D609" s="13" t="n"/>
      <c r="E609" s="13" t="n"/>
      <c r="F609" s="13" t="n"/>
      <c r="G609" s="12">
        <f>IF(B609="","",IFERROR(INDEX(ref_preguntas!$C$2:$C$200,MATCH(B609,ref_preguntas!$A$2:$A$200,0)),"ID no existe"))</f>
        <v/>
      </c>
    </row>
    <row r="610">
      <c r="A610" s="13" t="n"/>
      <c r="B610" s="13" t="n"/>
      <c r="C610" s="13" t="n"/>
      <c r="D610" s="13" t="n"/>
      <c r="E610" s="13" t="n"/>
      <c r="F610" s="13" t="n"/>
      <c r="G610" s="12">
        <f>IF(B610="","",IFERROR(INDEX(ref_preguntas!$C$2:$C$200,MATCH(B610,ref_preguntas!$A$2:$A$200,0)),"ID no existe"))</f>
        <v/>
      </c>
    </row>
    <row r="611">
      <c r="A611" s="13" t="n"/>
      <c r="B611" s="13" t="n"/>
      <c r="C611" s="13" t="n"/>
      <c r="D611" s="13" t="n"/>
      <c r="E611" s="13" t="n"/>
      <c r="F611" s="13" t="n"/>
      <c r="G611" s="12">
        <f>IF(B611="","",IFERROR(INDEX(ref_preguntas!$C$2:$C$200,MATCH(B611,ref_preguntas!$A$2:$A$200,0)),"ID no existe"))</f>
        <v/>
      </c>
    </row>
    <row r="612">
      <c r="A612" s="13" t="n"/>
      <c r="B612" s="13" t="n"/>
      <c r="C612" s="13" t="n"/>
      <c r="D612" s="13" t="n"/>
      <c r="E612" s="13" t="n"/>
      <c r="F612" s="13" t="n"/>
      <c r="G612" s="12">
        <f>IF(B612="","",IFERROR(INDEX(ref_preguntas!$C$2:$C$200,MATCH(B612,ref_preguntas!$A$2:$A$200,0)),"ID no existe"))</f>
        <v/>
      </c>
    </row>
    <row r="613">
      <c r="A613" s="13" t="n"/>
      <c r="B613" s="13" t="n"/>
      <c r="C613" s="13" t="n"/>
      <c r="D613" s="13" t="n"/>
      <c r="E613" s="13" t="n"/>
      <c r="F613" s="13" t="n"/>
      <c r="G613" s="12">
        <f>IF(B613="","",IFERROR(INDEX(ref_preguntas!$C$2:$C$200,MATCH(B613,ref_preguntas!$A$2:$A$200,0)),"ID no existe"))</f>
        <v/>
      </c>
    </row>
    <row r="614">
      <c r="A614" s="13" t="n"/>
      <c r="B614" s="13" t="n"/>
      <c r="C614" s="13" t="n"/>
      <c r="D614" s="13" t="n"/>
      <c r="E614" s="13" t="n"/>
      <c r="F614" s="13" t="n"/>
      <c r="G614" s="12">
        <f>IF(B614="","",IFERROR(INDEX(ref_preguntas!$C$2:$C$200,MATCH(B614,ref_preguntas!$A$2:$A$200,0)),"ID no existe"))</f>
        <v/>
      </c>
    </row>
    <row r="615">
      <c r="A615" s="13" t="n"/>
      <c r="B615" s="13" t="n"/>
      <c r="C615" s="13" t="n"/>
      <c r="D615" s="13" t="n"/>
      <c r="E615" s="13" t="n"/>
      <c r="F615" s="13" t="n"/>
      <c r="G615" s="12">
        <f>IF(B615="","",IFERROR(INDEX(ref_preguntas!$C$2:$C$200,MATCH(B615,ref_preguntas!$A$2:$A$200,0)),"ID no existe"))</f>
        <v/>
      </c>
    </row>
    <row r="616">
      <c r="A616" s="13" t="n"/>
      <c r="B616" s="13" t="n"/>
      <c r="C616" s="13" t="n"/>
      <c r="D616" s="13" t="n"/>
      <c r="E616" s="13" t="n"/>
      <c r="F616" s="13" t="n"/>
      <c r="G616" s="12">
        <f>IF(B616="","",IFERROR(INDEX(ref_preguntas!$C$2:$C$200,MATCH(B616,ref_preguntas!$A$2:$A$200,0)),"ID no existe"))</f>
        <v/>
      </c>
    </row>
    <row r="617">
      <c r="A617" s="13" t="n"/>
      <c r="B617" s="13" t="n"/>
      <c r="C617" s="13" t="n"/>
      <c r="D617" s="13" t="n"/>
      <c r="E617" s="13" t="n"/>
      <c r="F617" s="13" t="n"/>
      <c r="G617" s="12">
        <f>IF(B617="","",IFERROR(INDEX(ref_preguntas!$C$2:$C$200,MATCH(B617,ref_preguntas!$A$2:$A$200,0)),"ID no existe"))</f>
        <v/>
      </c>
    </row>
    <row r="618">
      <c r="A618" s="13" t="n"/>
      <c r="B618" s="13" t="n"/>
      <c r="C618" s="13" t="n"/>
      <c r="D618" s="13" t="n"/>
      <c r="E618" s="13" t="n"/>
      <c r="F618" s="13" t="n"/>
      <c r="G618" s="12">
        <f>IF(B618="","",IFERROR(INDEX(ref_preguntas!$C$2:$C$200,MATCH(B618,ref_preguntas!$A$2:$A$200,0)),"ID no existe"))</f>
        <v/>
      </c>
    </row>
    <row r="619">
      <c r="A619" s="13" t="n"/>
      <c r="B619" s="13" t="n"/>
      <c r="C619" s="13" t="n"/>
      <c r="D619" s="13" t="n"/>
      <c r="E619" s="13" t="n"/>
      <c r="F619" s="13" t="n"/>
      <c r="G619" s="12">
        <f>IF(B619="","",IFERROR(INDEX(ref_preguntas!$C$2:$C$200,MATCH(B619,ref_preguntas!$A$2:$A$200,0)),"ID no existe"))</f>
        <v/>
      </c>
    </row>
    <row r="620">
      <c r="A620" s="13" t="n"/>
      <c r="B620" s="13" t="n"/>
      <c r="C620" s="13" t="n"/>
      <c r="D620" s="13" t="n"/>
      <c r="E620" s="13" t="n"/>
      <c r="F620" s="13" t="n"/>
      <c r="G620" s="12">
        <f>IF(B620="","",IFERROR(INDEX(ref_preguntas!$C$2:$C$200,MATCH(B620,ref_preguntas!$A$2:$A$200,0)),"ID no existe"))</f>
        <v/>
      </c>
    </row>
    <row r="621">
      <c r="A621" s="13" t="n"/>
      <c r="B621" s="13" t="n"/>
      <c r="C621" s="13" t="n"/>
      <c r="D621" s="13" t="n"/>
      <c r="E621" s="13" t="n"/>
      <c r="F621" s="13" t="n"/>
      <c r="G621" s="12">
        <f>IF(B621="","",IFERROR(INDEX(ref_preguntas!$C$2:$C$200,MATCH(B621,ref_preguntas!$A$2:$A$200,0)),"ID no existe"))</f>
        <v/>
      </c>
    </row>
    <row r="622">
      <c r="A622" s="13" t="n"/>
      <c r="B622" s="13" t="n"/>
      <c r="C622" s="13" t="n"/>
      <c r="D622" s="13" t="n"/>
      <c r="E622" s="13" t="n"/>
      <c r="F622" s="13" t="n"/>
      <c r="G622" s="12">
        <f>IF(B622="","",IFERROR(INDEX(ref_preguntas!$C$2:$C$200,MATCH(B622,ref_preguntas!$A$2:$A$200,0)),"ID no existe"))</f>
        <v/>
      </c>
    </row>
    <row r="623">
      <c r="A623" s="13" t="n"/>
      <c r="B623" s="13" t="n"/>
      <c r="C623" s="13" t="n"/>
      <c r="D623" s="13" t="n"/>
      <c r="E623" s="13" t="n"/>
      <c r="F623" s="13" t="n"/>
      <c r="G623" s="12">
        <f>IF(B623="","",IFERROR(INDEX(ref_preguntas!$C$2:$C$200,MATCH(B623,ref_preguntas!$A$2:$A$200,0)),"ID no existe"))</f>
        <v/>
      </c>
    </row>
    <row r="624">
      <c r="A624" s="13" t="n"/>
      <c r="B624" s="13" t="n"/>
      <c r="C624" s="13" t="n"/>
      <c r="D624" s="13" t="n"/>
      <c r="E624" s="13" t="n"/>
      <c r="F624" s="13" t="n"/>
      <c r="G624" s="12">
        <f>IF(B624="","",IFERROR(INDEX(ref_preguntas!$C$2:$C$200,MATCH(B624,ref_preguntas!$A$2:$A$200,0)),"ID no existe"))</f>
        <v/>
      </c>
    </row>
    <row r="625">
      <c r="A625" s="13" t="n"/>
      <c r="B625" s="13" t="n"/>
      <c r="C625" s="13" t="n"/>
      <c r="D625" s="13" t="n"/>
      <c r="E625" s="13" t="n"/>
      <c r="F625" s="13" t="n"/>
      <c r="G625" s="12">
        <f>IF(B625="","",IFERROR(INDEX(ref_preguntas!$C$2:$C$200,MATCH(B625,ref_preguntas!$A$2:$A$200,0)),"ID no existe"))</f>
        <v/>
      </c>
    </row>
    <row r="626">
      <c r="A626" s="13" t="n"/>
      <c r="B626" s="13" t="n"/>
      <c r="C626" s="13" t="n"/>
      <c r="D626" s="13" t="n"/>
      <c r="E626" s="13" t="n"/>
      <c r="F626" s="13" t="n"/>
      <c r="G626" s="12">
        <f>IF(B626="","",IFERROR(INDEX(ref_preguntas!$C$2:$C$200,MATCH(B626,ref_preguntas!$A$2:$A$200,0)),"ID no existe"))</f>
        <v/>
      </c>
    </row>
    <row r="627">
      <c r="A627" s="13" t="n"/>
      <c r="B627" s="13" t="n"/>
      <c r="C627" s="13" t="n"/>
      <c r="D627" s="13" t="n"/>
      <c r="E627" s="13" t="n"/>
      <c r="F627" s="13" t="n"/>
      <c r="G627" s="12">
        <f>IF(B627="","",IFERROR(INDEX(ref_preguntas!$C$2:$C$200,MATCH(B627,ref_preguntas!$A$2:$A$200,0)),"ID no existe"))</f>
        <v/>
      </c>
    </row>
    <row r="628">
      <c r="A628" s="13" t="n"/>
      <c r="B628" s="13" t="n"/>
      <c r="C628" s="13" t="n"/>
      <c r="D628" s="13" t="n"/>
      <c r="E628" s="13" t="n"/>
      <c r="F628" s="13" t="n"/>
      <c r="G628" s="12">
        <f>IF(B628="","",IFERROR(INDEX(ref_preguntas!$C$2:$C$200,MATCH(B628,ref_preguntas!$A$2:$A$200,0)),"ID no existe"))</f>
        <v/>
      </c>
    </row>
    <row r="629">
      <c r="A629" s="13" t="n"/>
      <c r="B629" s="13" t="n"/>
      <c r="C629" s="13" t="n"/>
      <c r="D629" s="13" t="n"/>
      <c r="E629" s="13" t="n"/>
      <c r="F629" s="13" t="n"/>
      <c r="G629" s="12">
        <f>IF(B629="","",IFERROR(INDEX(ref_preguntas!$C$2:$C$200,MATCH(B629,ref_preguntas!$A$2:$A$200,0)),"ID no existe"))</f>
        <v/>
      </c>
    </row>
    <row r="630">
      <c r="A630" s="13" t="n"/>
      <c r="B630" s="13" t="n"/>
      <c r="C630" s="13" t="n"/>
      <c r="D630" s="13" t="n"/>
      <c r="E630" s="13" t="n"/>
      <c r="F630" s="13" t="n"/>
      <c r="G630" s="12">
        <f>IF(B630="","",IFERROR(INDEX(ref_preguntas!$C$2:$C$200,MATCH(B630,ref_preguntas!$A$2:$A$200,0)),"ID no existe"))</f>
        <v/>
      </c>
    </row>
    <row r="631">
      <c r="A631" s="13" t="n"/>
      <c r="B631" s="13" t="n"/>
      <c r="C631" s="13" t="n"/>
      <c r="D631" s="13" t="n"/>
      <c r="E631" s="13" t="n"/>
      <c r="F631" s="13" t="n"/>
      <c r="G631" s="12">
        <f>IF(B631="","",IFERROR(INDEX(ref_preguntas!$C$2:$C$200,MATCH(B631,ref_preguntas!$A$2:$A$200,0)),"ID no existe"))</f>
        <v/>
      </c>
    </row>
    <row r="632">
      <c r="A632" s="13" t="n"/>
      <c r="B632" s="13" t="n"/>
      <c r="C632" s="13" t="n"/>
      <c r="D632" s="13" t="n"/>
      <c r="E632" s="13" t="n"/>
      <c r="F632" s="13" t="n"/>
      <c r="G632" s="12">
        <f>IF(B632="","",IFERROR(INDEX(ref_preguntas!$C$2:$C$200,MATCH(B632,ref_preguntas!$A$2:$A$200,0)),"ID no existe"))</f>
        <v/>
      </c>
    </row>
    <row r="633">
      <c r="A633" s="13" t="n"/>
      <c r="B633" s="13" t="n"/>
      <c r="C633" s="13" t="n"/>
      <c r="D633" s="13" t="n"/>
      <c r="E633" s="13" t="n"/>
      <c r="F633" s="13" t="n"/>
      <c r="G633" s="12">
        <f>IF(B633="","",IFERROR(INDEX(ref_preguntas!$C$2:$C$200,MATCH(B633,ref_preguntas!$A$2:$A$200,0)),"ID no existe"))</f>
        <v/>
      </c>
    </row>
    <row r="634">
      <c r="A634" s="13" t="n"/>
      <c r="B634" s="13" t="n"/>
      <c r="C634" s="13" t="n"/>
      <c r="D634" s="13" t="n"/>
      <c r="E634" s="13" t="n"/>
      <c r="F634" s="13" t="n"/>
      <c r="G634" s="12">
        <f>IF(B634="","",IFERROR(INDEX(ref_preguntas!$C$2:$C$200,MATCH(B634,ref_preguntas!$A$2:$A$200,0)),"ID no existe"))</f>
        <v/>
      </c>
    </row>
    <row r="635">
      <c r="A635" s="13" t="n"/>
      <c r="B635" s="13" t="n"/>
      <c r="C635" s="13" t="n"/>
      <c r="D635" s="13" t="n"/>
      <c r="E635" s="13" t="n"/>
      <c r="F635" s="13" t="n"/>
      <c r="G635" s="12">
        <f>IF(B635="","",IFERROR(INDEX(ref_preguntas!$C$2:$C$200,MATCH(B635,ref_preguntas!$A$2:$A$200,0)),"ID no existe"))</f>
        <v/>
      </c>
    </row>
    <row r="636">
      <c r="A636" s="13" t="n"/>
      <c r="B636" s="13" t="n"/>
      <c r="C636" s="13" t="n"/>
      <c r="D636" s="13" t="n"/>
      <c r="E636" s="13" t="n"/>
      <c r="F636" s="13" t="n"/>
      <c r="G636" s="12">
        <f>IF(B636="","",IFERROR(INDEX(ref_preguntas!$C$2:$C$200,MATCH(B636,ref_preguntas!$A$2:$A$200,0)),"ID no existe"))</f>
        <v/>
      </c>
    </row>
    <row r="637">
      <c r="A637" s="13" t="n"/>
      <c r="B637" s="13" t="n"/>
      <c r="C637" s="13" t="n"/>
      <c r="D637" s="13" t="n"/>
      <c r="E637" s="13" t="n"/>
      <c r="F637" s="13" t="n"/>
      <c r="G637" s="12">
        <f>IF(B637="","",IFERROR(INDEX(ref_preguntas!$C$2:$C$200,MATCH(B637,ref_preguntas!$A$2:$A$200,0)),"ID no existe"))</f>
        <v/>
      </c>
    </row>
    <row r="638">
      <c r="A638" s="13" t="n"/>
      <c r="B638" s="13" t="n"/>
      <c r="C638" s="13" t="n"/>
      <c r="D638" s="13" t="n"/>
      <c r="E638" s="13" t="n"/>
      <c r="F638" s="13" t="n"/>
      <c r="G638" s="12">
        <f>IF(B638="","",IFERROR(INDEX(ref_preguntas!$C$2:$C$200,MATCH(B638,ref_preguntas!$A$2:$A$200,0)),"ID no existe"))</f>
        <v/>
      </c>
    </row>
    <row r="639">
      <c r="A639" s="13" t="n"/>
      <c r="B639" s="13" t="n"/>
      <c r="C639" s="13" t="n"/>
      <c r="D639" s="13" t="n"/>
      <c r="E639" s="13" t="n"/>
      <c r="F639" s="13" t="n"/>
      <c r="G639" s="12">
        <f>IF(B639="","",IFERROR(INDEX(ref_preguntas!$C$2:$C$200,MATCH(B639,ref_preguntas!$A$2:$A$200,0)),"ID no existe"))</f>
        <v/>
      </c>
    </row>
    <row r="640">
      <c r="A640" s="13" t="n"/>
      <c r="B640" s="13" t="n"/>
      <c r="C640" s="13" t="n"/>
      <c r="D640" s="13" t="n"/>
      <c r="E640" s="13" t="n"/>
      <c r="F640" s="13" t="n"/>
      <c r="G640" s="12">
        <f>IF(B640="","",IFERROR(INDEX(ref_preguntas!$C$2:$C$200,MATCH(B640,ref_preguntas!$A$2:$A$200,0)),"ID no existe"))</f>
        <v/>
      </c>
    </row>
    <row r="641">
      <c r="A641" s="13" t="n"/>
      <c r="B641" s="13" t="n"/>
      <c r="C641" s="13" t="n"/>
      <c r="D641" s="13" t="n"/>
      <c r="E641" s="13" t="n"/>
      <c r="F641" s="13" t="n"/>
      <c r="G641" s="12">
        <f>IF(B641="","",IFERROR(INDEX(ref_preguntas!$C$2:$C$200,MATCH(B641,ref_preguntas!$A$2:$A$200,0)),"ID no existe"))</f>
        <v/>
      </c>
    </row>
    <row r="642">
      <c r="A642" s="13" t="n"/>
      <c r="B642" s="13" t="n"/>
      <c r="C642" s="13" t="n"/>
      <c r="D642" s="13" t="n"/>
      <c r="E642" s="13" t="n"/>
      <c r="F642" s="13" t="n"/>
      <c r="G642" s="12">
        <f>IF(B642="","",IFERROR(INDEX(ref_preguntas!$C$2:$C$200,MATCH(B642,ref_preguntas!$A$2:$A$200,0)),"ID no existe"))</f>
        <v/>
      </c>
    </row>
    <row r="643">
      <c r="A643" s="13" t="n"/>
      <c r="B643" s="13" t="n"/>
      <c r="C643" s="13" t="n"/>
      <c r="D643" s="13" t="n"/>
      <c r="E643" s="13" t="n"/>
      <c r="F643" s="13" t="n"/>
      <c r="G643" s="12">
        <f>IF(B643="","",IFERROR(INDEX(ref_preguntas!$C$2:$C$200,MATCH(B643,ref_preguntas!$A$2:$A$200,0)),"ID no existe"))</f>
        <v/>
      </c>
    </row>
    <row r="644">
      <c r="A644" s="13" t="n"/>
      <c r="B644" s="13" t="n"/>
      <c r="C644" s="13" t="n"/>
      <c r="D644" s="13" t="n"/>
      <c r="E644" s="13" t="n"/>
      <c r="F644" s="13" t="n"/>
      <c r="G644" s="12">
        <f>IF(B644="","",IFERROR(INDEX(ref_preguntas!$C$2:$C$200,MATCH(B644,ref_preguntas!$A$2:$A$200,0)),"ID no existe"))</f>
        <v/>
      </c>
    </row>
    <row r="645">
      <c r="A645" s="13" t="n"/>
      <c r="B645" s="13" t="n"/>
      <c r="C645" s="13" t="n"/>
      <c r="D645" s="13" t="n"/>
      <c r="E645" s="13" t="n"/>
      <c r="F645" s="13" t="n"/>
      <c r="G645" s="12">
        <f>IF(B645="","",IFERROR(INDEX(ref_preguntas!$C$2:$C$200,MATCH(B645,ref_preguntas!$A$2:$A$200,0)),"ID no existe"))</f>
        <v/>
      </c>
    </row>
    <row r="646">
      <c r="A646" s="13" t="n"/>
      <c r="B646" s="13" t="n"/>
      <c r="C646" s="13" t="n"/>
      <c r="D646" s="13" t="n"/>
      <c r="E646" s="13" t="n"/>
      <c r="F646" s="13" t="n"/>
      <c r="G646" s="12">
        <f>IF(B646="","",IFERROR(INDEX(ref_preguntas!$C$2:$C$200,MATCH(B646,ref_preguntas!$A$2:$A$200,0)),"ID no existe"))</f>
        <v/>
      </c>
    </row>
    <row r="647">
      <c r="A647" s="13" t="n"/>
      <c r="B647" s="13" t="n"/>
      <c r="C647" s="13" t="n"/>
      <c r="D647" s="13" t="n"/>
      <c r="E647" s="13" t="n"/>
      <c r="F647" s="13" t="n"/>
      <c r="G647" s="12">
        <f>IF(B647="","",IFERROR(INDEX(ref_preguntas!$C$2:$C$200,MATCH(B647,ref_preguntas!$A$2:$A$200,0)),"ID no existe"))</f>
        <v/>
      </c>
    </row>
    <row r="648">
      <c r="A648" s="13" t="n"/>
      <c r="B648" s="13" t="n"/>
      <c r="C648" s="13" t="n"/>
      <c r="D648" s="13" t="n"/>
      <c r="E648" s="13" t="n"/>
      <c r="F648" s="13" t="n"/>
      <c r="G648" s="12">
        <f>IF(B648="","",IFERROR(INDEX(ref_preguntas!$C$2:$C$200,MATCH(B648,ref_preguntas!$A$2:$A$200,0)),"ID no existe"))</f>
        <v/>
      </c>
    </row>
    <row r="649">
      <c r="A649" s="13" t="n"/>
      <c r="B649" s="13" t="n"/>
      <c r="C649" s="13" t="n"/>
      <c r="D649" s="13" t="n"/>
      <c r="E649" s="13" t="n"/>
      <c r="F649" s="13" t="n"/>
      <c r="G649" s="12">
        <f>IF(B649="","",IFERROR(INDEX(ref_preguntas!$C$2:$C$200,MATCH(B649,ref_preguntas!$A$2:$A$200,0)),"ID no existe"))</f>
        <v/>
      </c>
    </row>
    <row r="650">
      <c r="A650" s="13" t="n"/>
      <c r="B650" s="13" t="n"/>
      <c r="C650" s="13" t="n"/>
      <c r="D650" s="13" t="n"/>
      <c r="E650" s="13" t="n"/>
      <c r="F650" s="13" t="n"/>
      <c r="G650" s="12">
        <f>IF(B650="","",IFERROR(INDEX(ref_preguntas!$C$2:$C$200,MATCH(B650,ref_preguntas!$A$2:$A$200,0)),"ID no existe"))</f>
        <v/>
      </c>
    </row>
    <row r="651">
      <c r="A651" s="13" t="n"/>
      <c r="B651" s="13" t="n"/>
      <c r="C651" s="13" t="n"/>
      <c r="D651" s="13" t="n"/>
      <c r="E651" s="13" t="n"/>
      <c r="F651" s="13" t="n"/>
      <c r="G651" s="12">
        <f>IF(B651="","",IFERROR(INDEX(ref_preguntas!$C$2:$C$200,MATCH(B651,ref_preguntas!$A$2:$A$200,0)),"ID no existe"))</f>
        <v/>
      </c>
    </row>
    <row r="652">
      <c r="A652" s="13" t="n"/>
      <c r="B652" s="13" t="n"/>
      <c r="C652" s="13" t="n"/>
      <c r="D652" s="13" t="n"/>
      <c r="E652" s="13" t="n"/>
      <c r="F652" s="13" t="n"/>
      <c r="G652" s="12">
        <f>IF(B652="","",IFERROR(INDEX(ref_preguntas!$C$2:$C$200,MATCH(B652,ref_preguntas!$A$2:$A$200,0)),"ID no existe"))</f>
        <v/>
      </c>
    </row>
    <row r="653">
      <c r="A653" s="13" t="n"/>
      <c r="B653" s="13" t="n"/>
      <c r="C653" s="13" t="n"/>
      <c r="D653" s="13" t="n"/>
      <c r="E653" s="13" t="n"/>
      <c r="F653" s="13" t="n"/>
      <c r="G653" s="12">
        <f>IF(B653="","",IFERROR(INDEX(ref_preguntas!$C$2:$C$200,MATCH(B653,ref_preguntas!$A$2:$A$200,0)),"ID no existe"))</f>
        <v/>
      </c>
    </row>
    <row r="654">
      <c r="A654" s="13" t="n"/>
      <c r="B654" s="13" t="n"/>
      <c r="C654" s="13" t="n"/>
      <c r="D654" s="13" t="n"/>
      <c r="E654" s="13" t="n"/>
      <c r="F654" s="13" t="n"/>
      <c r="G654" s="12">
        <f>IF(B654="","",IFERROR(INDEX(ref_preguntas!$C$2:$C$200,MATCH(B654,ref_preguntas!$A$2:$A$200,0)),"ID no existe"))</f>
        <v/>
      </c>
    </row>
    <row r="655">
      <c r="A655" s="13" t="n"/>
      <c r="B655" s="13" t="n"/>
      <c r="C655" s="13" t="n"/>
      <c r="D655" s="13" t="n"/>
      <c r="E655" s="13" t="n"/>
      <c r="F655" s="13" t="n"/>
      <c r="G655" s="12">
        <f>IF(B655="","",IFERROR(INDEX(ref_preguntas!$C$2:$C$200,MATCH(B655,ref_preguntas!$A$2:$A$200,0)),"ID no existe"))</f>
        <v/>
      </c>
    </row>
    <row r="656">
      <c r="A656" s="13" t="n"/>
      <c r="B656" s="13" t="n"/>
      <c r="C656" s="13" t="n"/>
      <c r="D656" s="13" t="n"/>
      <c r="E656" s="13" t="n"/>
      <c r="F656" s="13" t="n"/>
      <c r="G656" s="12">
        <f>IF(B656="","",IFERROR(INDEX(ref_preguntas!$C$2:$C$200,MATCH(B656,ref_preguntas!$A$2:$A$200,0)),"ID no existe"))</f>
        <v/>
      </c>
    </row>
    <row r="657">
      <c r="A657" s="13" t="n"/>
      <c r="B657" s="13" t="n"/>
      <c r="C657" s="13" t="n"/>
      <c r="D657" s="13" t="n"/>
      <c r="E657" s="13" t="n"/>
      <c r="F657" s="13" t="n"/>
      <c r="G657" s="12">
        <f>IF(B657="","",IFERROR(INDEX(ref_preguntas!$C$2:$C$200,MATCH(B657,ref_preguntas!$A$2:$A$200,0)),"ID no existe"))</f>
        <v/>
      </c>
    </row>
    <row r="658">
      <c r="A658" s="13" t="n"/>
      <c r="B658" s="13" t="n"/>
      <c r="C658" s="13" t="n"/>
      <c r="D658" s="13" t="n"/>
      <c r="E658" s="13" t="n"/>
      <c r="F658" s="13" t="n"/>
      <c r="G658" s="12">
        <f>IF(B658="","",IFERROR(INDEX(ref_preguntas!$C$2:$C$200,MATCH(B658,ref_preguntas!$A$2:$A$200,0)),"ID no existe"))</f>
        <v/>
      </c>
    </row>
    <row r="659">
      <c r="A659" s="13" t="n"/>
      <c r="B659" s="13" t="n"/>
      <c r="C659" s="13" t="n"/>
      <c r="D659" s="13" t="n"/>
      <c r="E659" s="13" t="n"/>
      <c r="F659" s="13" t="n"/>
      <c r="G659" s="12">
        <f>IF(B659="","",IFERROR(INDEX(ref_preguntas!$C$2:$C$200,MATCH(B659,ref_preguntas!$A$2:$A$200,0)),"ID no existe"))</f>
        <v/>
      </c>
    </row>
    <row r="660">
      <c r="A660" s="13" t="n"/>
      <c r="B660" s="13" t="n"/>
      <c r="C660" s="13" t="n"/>
      <c r="D660" s="13" t="n"/>
      <c r="E660" s="13" t="n"/>
      <c r="F660" s="13" t="n"/>
      <c r="G660" s="12">
        <f>IF(B660="","",IFERROR(INDEX(ref_preguntas!$C$2:$C$200,MATCH(B660,ref_preguntas!$A$2:$A$200,0)),"ID no existe"))</f>
        <v/>
      </c>
    </row>
    <row r="661">
      <c r="A661" s="13" t="n"/>
      <c r="B661" s="13" t="n"/>
      <c r="C661" s="13" t="n"/>
      <c r="D661" s="13" t="n"/>
      <c r="E661" s="13" t="n"/>
      <c r="F661" s="13" t="n"/>
      <c r="G661" s="12">
        <f>IF(B661="","",IFERROR(INDEX(ref_preguntas!$C$2:$C$200,MATCH(B661,ref_preguntas!$A$2:$A$200,0)),"ID no existe"))</f>
        <v/>
      </c>
    </row>
    <row r="662">
      <c r="A662" s="13" t="n"/>
      <c r="B662" s="13" t="n"/>
      <c r="C662" s="13" t="n"/>
      <c r="D662" s="13" t="n"/>
      <c r="E662" s="13" t="n"/>
      <c r="F662" s="13" t="n"/>
      <c r="G662" s="12">
        <f>IF(B662="","",IFERROR(INDEX(ref_preguntas!$C$2:$C$200,MATCH(B662,ref_preguntas!$A$2:$A$200,0)),"ID no existe"))</f>
        <v/>
      </c>
    </row>
    <row r="663">
      <c r="A663" s="13" t="n"/>
      <c r="B663" s="13" t="n"/>
      <c r="C663" s="13" t="n"/>
      <c r="D663" s="13" t="n"/>
      <c r="E663" s="13" t="n"/>
      <c r="F663" s="13" t="n"/>
      <c r="G663" s="12">
        <f>IF(B663="","",IFERROR(INDEX(ref_preguntas!$C$2:$C$200,MATCH(B663,ref_preguntas!$A$2:$A$200,0)),"ID no existe"))</f>
        <v/>
      </c>
    </row>
    <row r="664">
      <c r="A664" s="13" t="n"/>
      <c r="B664" s="13" t="n"/>
      <c r="C664" s="13" t="n"/>
      <c r="D664" s="13" t="n"/>
      <c r="E664" s="13" t="n"/>
      <c r="F664" s="13" t="n"/>
      <c r="G664" s="12">
        <f>IF(B664="","",IFERROR(INDEX(ref_preguntas!$C$2:$C$200,MATCH(B664,ref_preguntas!$A$2:$A$200,0)),"ID no existe"))</f>
        <v/>
      </c>
    </row>
    <row r="665">
      <c r="A665" s="13" t="n"/>
      <c r="B665" s="13" t="n"/>
      <c r="C665" s="13" t="n"/>
      <c r="D665" s="13" t="n"/>
      <c r="E665" s="13" t="n"/>
      <c r="F665" s="13" t="n"/>
      <c r="G665" s="12">
        <f>IF(B665="","",IFERROR(INDEX(ref_preguntas!$C$2:$C$200,MATCH(B665,ref_preguntas!$A$2:$A$200,0)),"ID no existe"))</f>
        <v/>
      </c>
    </row>
    <row r="666">
      <c r="A666" s="13" t="n"/>
      <c r="B666" s="13" t="n"/>
      <c r="C666" s="13" t="n"/>
      <c r="D666" s="13" t="n"/>
      <c r="E666" s="13" t="n"/>
      <c r="F666" s="13" t="n"/>
      <c r="G666" s="12">
        <f>IF(B666="","",IFERROR(INDEX(ref_preguntas!$C$2:$C$200,MATCH(B666,ref_preguntas!$A$2:$A$200,0)),"ID no existe"))</f>
        <v/>
      </c>
    </row>
    <row r="667">
      <c r="A667" s="13" t="n"/>
      <c r="B667" s="13" t="n"/>
      <c r="C667" s="13" t="n"/>
      <c r="D667" s="13" t="n"/>
      <c r="E667" s="13" t="n"/>
      <c r="F667" s="13" t="n"/>
      <c r="G667" s="12">
        <f>IF(B667="","",IFERROR(INDEX(ref_preguntas!$C$2:$C$200,MATCH(B667,ref_preguntas!$A$2:$A$200,0)),"ID no existe"))</f>
        <v/>
      </c>
    </row>
    <row r="668">
      <c r="A668" s="13" t="n"/>
      <c r="B668" s="13" t="n"/>
      <c r="C668" s="13" t="n"/>
      <c r="D668" s="13" t="n"/>
      <c r="E668" s="13" t="n"/>
      <c r="F668" s="13" t="n"/>
      <c r="G668" s="12">
        <f>IF(B668="","",IFERROR(INDEX(ref_preguntas!$C$2:$C$200,MATCH(B668,ref_preguntas!$A$2:$A$200,0)),"ID no existe"))</f>
        <v/>
      </c>
    </row>
    <row r="669">
      <c r="A669" s="13" t="n"/>
      <c r="B669" s="13" t="n"/>
      <c r="C669" s="13" t="n"/>
      <c r="D669" s="13" t="n"/>
      <c r="E669" s="13" t="n"/>
      <c r="F669" s="13" t="n"/>
      <c r="G669" s="12">
        <f>IF(B669="","",IFERROR(INDEX(ref_preguntas!$C$2:$C$200,MATCH(B669,ref_preguntas!$A$2:$A$200,0)),"ID no existe"))</f>
        <v/>
      </c>
    </row>
    <row r="670">
      <c r="A670" s="13" t="n"/>
      <c r="B670" s="13" t="n"/>
      <c r="C670" s="13" t="n"/>
      <c r="D670" s="13" t="n"/>
      <c r="E670" s="13" t="n"/>
      <c r="F670" s="13" t="n"/>
      <c r="G670" s="12">
        <f>IF(B670="","",IFERROR(INDEX(ref_preguntas!$C$2:$C$200,MATCH(B670,ref_preguntas!$A$2:$A$200,0)),"ID no existe"))</f>
        <v/>
      </c>
    </row>
    <row r="671">
      <c r="A671" s="13" t="n"/>
      <c r="B671" s="13" t="n"/>
      <c r="C671" s="13" t="n"/>
      <c r="D671" s="13" t="n"/>
      <c r="E671" s="13" t="n"/>
      <c r="F671" s="13" t="n"/>
      <c r="G671" s="12">
        <f>IF(B671="","",IFERROR(INDEX(ref_preguntas!$C$2:$C$200,MATCH(B671,ref_preguntas!$A$2:$A$200,0)),"ID no existe"))</f>
        <v/>
      </c>
    </row>
    <row r="672">
      <c r="A672" s="13" t="n"/>
      <c r="B672" s="13" t="n"/>
      <c r="C672" s="13" t="n"/>
      <c r="D672" s="13" t="n"/>
      <c r="E672" s="13" t="n"/>
      <c r="F672" s="13" t="n"/>
      <c r="G672" s="12">
        <f>IF(B672="","",IFERROR(INDEX(ref_preguntas!$C$2:$C$200,MATCH(B672,ref_preguntas!$A$2:$A$200,0)),"ID no existe"))</f>
        <v/>
      </c>
    </row>
    <row r="673">
      <c r="A673" s="13" t="n"/>
      <c r="B673" s="13" t="n"/>
      <c r="C673" s="13" t="n"/>
      <c r="D673" s="13" t="n"/>
      <c r="E673" s="13" t="n"/>
      <c r="F673" s="13" t="n"/>
      <c r="G673" s="12">
        <f>IF(B673="","",IFERROR(INDEX(ref_preguntas!$C$2:$C$200,MATCH(B673,ref_preguntas!$A$2:$A$200,0)),"ID no existe"))</f>
        <v/>
      </c>
    </row>
    <row r="674">
      <c r="A674" s="13" t="n"/>
      <c r="B674" s="13" t="n"/>
      <c r="C674" s="13" t="n"/>
      <c r="D674" s="13" t="n"/>
      <c r="E674" s="13" t="n"/>
      <c r="F674" s="13" t="n"/>
      <c r="G674" s="12">
        <f>IF(B674="","",IFERROR(INDEX(ref_preguntas!$C$2:$C$200,MATCH(B674,ref_preguntas!$A$2:$A$200,0)),"ID no existe"))</f>
        <v/>
      </c>
    </row>
    <row r="675">
      <c r="A675" s="13" t="n"/>
      <c r="B675" s="13" t="n"/>
      <c r="C675" s="13" t="n"/>
      <c r="D675" s="13" t="n"/>
      <c r="E675" s="13" t="n"/>
      <c r="F675" s="13" t="n"/>
      <c r="G675" s="12">
        <f>IF(B675="","",IFERROR(INDEX(ref_preguntas!$C$2:$C$200,MATCH(B675,ref_preguntas!$A$2:$A$200,0)),"ID no existe"))</f>
        <v/>
      </c>
    </row>
    <row r="676">
      <c r="A676" s="13" t="n"/>
      <c r="B676" s="13" t="n"/>
      <c r="C676" s="13" t="n"/>
      <c r="D676" s="13" t="n"/>
      <c r="E676" s="13" t="n"/>
      <c r="F676" s="13" t="n"/>
      <c r="G676" s="12">
        <f>IF(B676="","",IFERROR(INDEX(ref_preguntas!$C$2:$C$200,MATCH(B676,ref_preguntas!$A$2:$A$200,0)),"ID no existe"))</f>
        <v/>
      </c>
    </row>
    <row r="677">
      <c r="A677" s="13" t="n"/>
      <c r="B677" s="13" t="n"/>
      <c r="C677" s="13" t="n"/>
      <c r="D677" s="13" t="n"/>
      <c r="E677" s="13" t="n"/>
      <c r="F677" s="13" t="n"/>
      <c r="G677" s="12">
        <f>IF(B677="","",IFERROR(INDEX(ref_preguntas!$C$2:$C$200,MATCH(B677,ref_preguntas!$A$2:$A$200,0)),"ID no existe"))</f>
        <v/>
      </c>
    </row>
    <row r="678">
      <c r="A678" s="13" t="n"/>
      <c r="B678" s="13" t="n"/>
      <c r="C678" s="13" t="n"/>
      <c r="D678" s="13" t="n"/>
      <c r="E678" s="13" t="n"/>
      <c r="F678" s="13" t="n"/>
      <c r="G678" s="12">
        <f>IF(B678="","",IFERROR(INDEX(ref_preguntas!$C$2:$C$200,MATCH(B678,ref_preguntas!$A$2:$A$200,0)),"ID no existe"))</f>
        <v/>
      </c>
    </row>
    <row r="679">
      <c r="A679" s="13" t="n"/>
      <c r="B679" s="13" t="n"/>
      <c r="C679" s="13" t="n"/>
      <c r="D679" s="13" t="n"/>
      <c r="E679" s="13" t="n"/>
      <c r="F679" s="13" t="n"/>
      <c r="G679" s="12">
        <f>IF(B679="","",IFERROR(INDEX(ref_preguntas!$C$2:$C$200,MATCH(B679,ref_preguntas!$A$2:$A$200,0)),"ID no existe"))</f>
        <v/>
      </c>
    </row>
    <row r="680">
      <c r="A680" s="13" t="n"/>
      <c r="B680" s="13" t="n"/>
      <c r="C680" s="13" t="n"/>
      <c r="D680" s="13" t="n"/>
      <c r="E680" s="13" t="n"/>
      <c r="F680" s="13" t="n"/>
      <c r="G680" s="12">
        <f>IF(B680="","",IFERROR(INDEX(ref_preguntas!$C$2:$C$200,MATCH(B680,ref_preguntas!$A$2:$A$200,0)),"ID no existe"))</f>
        <v/>
      </c>
    </row>
    <row r="681">
      <c r="A681" s="13" t="n"/>
      <c r="B681" s="13" t="n"/>
      <c r="C681" s="13" t="n"/>
      <c r="D681" s="13" t="n"/>
      <c r="E681" s="13" t="n"/>
      <c r="F681" s="13" t="n"/>
      <c r="G681" s="12">
        <f>IF(B681="","",IFERROR(INDEX(ref_preguntas!$C$2:$C$200,MATCH(B681,ref_preguntas!$A$2:$A$200,0)),"ID no existe"))</f>
        <v/>
      </c>
    </row>
    <row r="682">
      <c r="A682" s="13" t="n"/>
      <c r="B682" s="13" t="n"/>
      <c r="C682" s="13" t="n"/>
      <c r="D682" s="13" t="n"/>
      <c r="E682" s="13" t="n"/>
      <c r="F682" s="13" t="n"/>
      <c r="G682" s="12">
        <f>IF(B682="","",IFERROR(INDEX(ref_preguntas!$C$2:$C$200,MATCH(B682,ref_preguntas!$A$2:$A$200,0)),"ID no existe"))</f>
        <v/>
      </c>
    </row>
    <row r="683">
      <c r="A683" s="13" t="n"/>
      <c r="B683" s="13" t="n"/>
      <c r="C683" s="13" t="n"/>
      <c r="D683" s="13" t="n"/>
      <c r="E683" s="13" t="n"/>
      <c r="F683" s="13" t="n"/>
      <c r="G683" s="12">
        <f>IF(B683="","",IFERROR(INDEX(ref_preguntas!$C$2:$C$200,MATCH(B683,ref_preguntas!$A$2:$A$200,0)),"ID no existe"))</f>
        <v/>
      </c>
    </row>
    <row r="684">
      <c r="A684" s="13" t="n"/>
      <c r="B684" s="13" t="n"/>
      <c r="C684" s="13" t="n"/>
      <c r="D684" s="13" t="n"/>
      <c r="E684" s="13" t="n"/>
      <c r="F684" s="13" t="n"/>
      <c r="G684" s="12">
        <f>IF(B684="","",IFERROR(INDEX(ref_preguntas!$C$2:$C$200,MATCH(B684,ref_preguntas!$A$2:$A$200,0)),"ID no existe"))</f>
        <v/>
      </c>
    </row>
    <row r="685">
      <c r="A685" s="13" t="n"/>
      <c r="B685" s="13" t="n"/>
      <c r="C685" s="13" t="n"/>
      <c r="D685" s="13" t="n"/>
      <c r="E685" s="13" t="n"/>
      <c r="F685" s="13" t="n"/>
      <c r="G685" s="12">
        <f>IF(B685="","",IFERROR(INDEX(ref_preguntas!$C$2:$C$200,MATCH(B685,ref_preguntas!$A$2:$A$200,0)),"ID no existe"))</f>
        <v/>
      </c>
    </row>
    <row r="686">
      <c r="A686" s="13" t="n"/>
      <c r="B686" s="13" t="n"/>
      <c r="C686" s="13" t="n"/>
      <c r="D686" s="13" t="n"/>
      <c r="E686" s="13" t="n"/>
      <c r="F686" s="13" t="n"/>
      <c r="G686" s="12">
        <f>IF(B686="","",IFERROR(INDEX(ref_preguntas!$C$2:$C$200,MATCH(B686,ref_preguntas!$A$2:$A$200,0)),"ID no existe"))</f>
        <v/>
      </c>
    </row>
    <row r="687">
      <c r="A687" s="13" t="n"/>
      <c r="B687" s="13" t="n"/>
      <c r="C687" s="13" t="n"/>
      <c r="D687" s="13" t="n"/>
      <c r="E687" s="13" t="n"/>
      <c r="F687" s="13" t="n"/>
      <c r="G687" s="12">
        <f>IF(B687="","",IFERROR(INDEX(ref_preguntas!$C$2:$C$200,MATCH(B687,ref_preguntas!$A$2:$A$200,0)),"ID no existe"))</f>
        <v/>
      </c>
    </row>
    <row r="688">
      <c r="A688" s="13" t="n"/>
      <c r="B688" s="13" t="n"/>
      <c r="C688" s="13" t="n"/>
      <c r="D688" s="13" t="n"/>
      <c r="E688" s="13" t="n"/>
      <c r="F688" s="13" t="n"/>
      <c r="G688" s="12">
        <f>IF(B688="","",IFERROR(INDEX(ref_preguntas!$C$2:$C$200,MATCH(B688,ref_preguntas!$A$2:$A$200,0)),"ID no existe"))</f>
        <v/>
      </c>
    </row>
    <row r="689">
      <c r="A689" s="13" t="n"/>
      <c r="B689" s="13" t="n"/>
      <c r="C689" s="13" t="n"/>
      <c r="D689" s="13" t="n"/>
      <c r="E689" s="13" t="n"/>
      <c r="F689" s="13" t="n"/>
      <c r="G689" s="12">
        <f>IF(B689="","",IFERROR(INDEX(ref_preguntas!$C$2:$C$200,MATCH(B689,ref_preguntas!$A$2:$A$200,0)),"ID no existe"))</f>
        <v/>
      </c>
    </row>
    <row r="690">
      <c r="A690" s="13" t="n"/>
      <c r="B690" s="13" t="n"/>
      <c r="C690" s="13" t="n"/>
      <c r="D690" s="13" t="n"/>
      <c r="E690" s="13" t="n"/>
      <c r="F690" s="13" t="n"/>
      <c r="G690" s="12">
        <f>IF(B690="","",IFERROR(INDEX(ref_preguntas!$C$2:$C$200,MATCH(B690,ref_preguntas!$A$2:$A$200,0)),"ID no existe"))</f>
        <v/>
      </c>
    </row>
    <row r="691">
      <c r="A691" s="13" t="n"/>
      <c r="B691" s="13" t="n"/>
      <c r="C691" s="13" t="n"/>
      <c r="D691" s="13" t="n"/>
      <c r="E691" s="13" t="n"/>
      <c r="F691" s="13" t="n"/>
      <c r="G691" s="12">
        <f>IF(B691="","",IFERROR(INDEX(ref_preguntas!$C$2:$C$200,MATCH(B691,ref_preguntas!$A$2:$A$200,0)),"ID no existe"))</f>
        <v/>
      </c>
    </row>
    <row r="692">
      <c r="A692" s="13" t="n"/>
      <c r="B692" s="13" t="n"/>
      <c r="C692" s="13" t="n"/>
      <c r="D692" s="13" t="n"/>
      <c r="E692" s="13" t="n"/>
      <c r="F692" s="13" t="n"/>
      <c r="G692" s="12">
        <f>IF(B692="","",IFERROR(INDEX(ref_preguntas!$C$2:$C$200,MATCH(B692,ref_preguntas!$A$2:$A$200,0)),"ID no existe"))</f>
        <v/>
      </c>
    </row>
    <row r="693">
      <c r="A693" s="13" t="n"/>
      <c r="B693" s="13" t="n"/>
      <c r="C693" s="13" t="n"/>
      <c r="D693" s="13" t="n"/>
      <c r="E693" s="13" t="n"/>
      <c r="F693" s="13" t="n"/>
      <c r="G693" s="12">
        <f>IF(B693="","",IFERROR(INDEX(ref_preguntas!$C$2:$C$200,MATCH(B693,ref_preguntas!$A$2:$A$200,0)),"ID no existe"))</f>
        <v/>
      </c>
    </row>
    <row r="694">
      <c r="A694" s="13" t="n"/>
      <c r="B694" s="13" t="n"/>
      <c r="C694" s="13" t="n"/>
      <c r="D694" s="13" t="n"/>
      <c r="E694" s="13" t="n"/>
      <c r="F694" s="13" t="n"/>
      <c r="G694" s="12">
        <f>IF(B694="","",IFERROR(INDEX(ref_preguntas!$C$2:$C$200,MATCH(B694,ref_preguntas!$A$2:$A$200,0)),"ID no existe"))</f>
        <v/>
      </c>
    </row>
    <row r="695">
      <c r="A695" s="13" t="n"/>
      <c r="B695" s="13" t="n"/>
      <c r="C695" s="13" t="n"/>
      <c r="D695" s="13" t="n"/>
      <c r="E695" s="13" t="n"/>
      <c r="F695" s="13" t="n"/>
      <c r="G695" s="12">
        <f>IF(B695="","",IFERROR(INDEX(ref_preguntas!$C$2:$C$200,MATCH(B695,ref_preguntas!$A$2:$A$200,0)),"ID no existe"))</f>
        <v/>
      </c>
    </row>
    <row r="696">
      <c r="A696" s="13" t="n"/>
      <c r="B696" s="13" t="n"/>
      <c r="C696" s="13" t="n"/>
      <c r="D696" s="13" t="n"/>
      <c r="E696" s="13" t="n"/>
      <c r="F696" s="13" t="n"/>
      <c r="G696" s="12">
        <f>IF(B696="","",IFERROR(INDEX(ref_preguntas!$C$2:$C$200,MATCH(B696,ref_preguntas!$A$2:$A$200,0)),"ID no existe"))</f>
        <v/>
      </c>
    </row>
    <row r="697">
      <c r="A697" s="13" t="n"/>
      <c r="B697" s="13" t="n"/>
      <c r="C697" s="13" t="n"/>
      <c r="D697" s="13" t="n"/>
      <c r="E697" s="13" t="n"/>
      <c r="F697" s="13" t="n"/>
      <c r="G697" s="12">
        <f>IF(B697="","",IFERROR(INDEX(ref_preguntas!$C$2:$C$200,MATCH(B697,ref_preguntas!$A$2:$A$200,0)),"ID no existe"))</f>
        <v/>
      </c>
    </row>
    <row r="698">
      <c r="A698" s="13" t="n"/>
      <c r="B698" s="13" t="n"/>
      <c r="C698" s="13" t="n"/>
      <c r="D698" s="13" t="n"/>
      <c r="E698" s="13" t="n"/>
      <c r="F698" s="13" t="n"/>
      <c r="G698" s="12">
        <f>IF(B698="","",IFERROR(INDEX(ref_preguntas!$C$2:$C$200,MATCH(B698,ref_preguntas!$A$2:$A$200,0)),"ID no existe"))</f>
        <v/>
      </c>
    </row>
    <row r="699">
      <c r="A699" s="13" t="n"/>
      <c r="B699" s="13" t="n"/>
      <c r="C699" s="13" t="n"/>
      <c r="D699" s="13" t="n"/>
      <c r="E699" s="13" t="n"/>
      <c r="F699" s="13" t="n"/>
      <c r="G699" s="12">
        <f>IF(B699="","",IFERROR(INDEX(ref_preguntas!$C$2:$C$200,MATCH(B699,ref_preguntas!$A$2:$A$200,0)),"ID no existe"))</f>
        <v/>
      </c>
    </row>
    <row r="700">
      <c r="A700" s="13" t="n"/>
      <c r="B700" s="13" t="n"/>
      <c r="C700" s="13" t="n"/>
      <c r="D700" s="13" t="n"/>
      <c r="E700" s="13" t="n"/>
      <c r="F700" s="13" t="n"/>
      <c r="G700" s="12">
        <f>IF(B700="","",IFERROR(INDEX(ref_preguntas!$C$2:$C$200,MATCH(B700,ref_preguntas!$A$2:$A$200,0)),"ID no existe"))</f>
        <v/>
      </c>
    </row>
    <row r="701">
      <c r="A701" s="13" t="n"/>
      <c r="B701" s="13" t="n"/>
      <c r="C701" s="13" t="n"/>
      <c r="D701" s="13" t="n"/>
      <c r="E701" s="13" t="n"/>
      <c r="F701" s="13" t="n"/>
      <c r="G701" s="12">
        <f>IF(B701="","",IFERROR(INDEX(ref_preguntas!$C$2:$C$200,MATCH(B701,ref_preguntas!$A$2:$A$200,0)),"ID no existe"))</f>
        <v/>
      </c>
    </row>
    <row r="702">
      <c r="A702" s="13" t="n"/>
      <c r="B702" s="13" t="n"/>
      <c r="C702" s="13" t="n"/>
      <c r="D702" s="13" t="n"/>
      <c r="E702" s="13" t="n"/>
      <c r="F702" s="13" t="n"/>
      <c r="G702" s="12">
        <f>IF(B702="","",IFERROR(INDEX(ref_preguntas!$C$2:$C$200,MATCH(B702,ref_preguntas!$A$2:$A$200,0)),"ID no existe"))</f>
        <v/>
      </c>
    </row>
    <row r="703">
      <c r="A703" s="13" t="n"/>
      <c r="B703" s="13" t="n"/>
      <c r="C703" s="13" t="n"/>
      <c r="D703" s="13" t="n"/>
      <c r="E703" s="13" t="n"/>
      <c r="F703" s="13" t="n"/>
      <c r="G703" s="12">
        <f>IF(B703="","",IFERROR(INDEX(ref_preguntas!$C$2:$C$200,MATCH(B703,ref_preguntas!$A$2:$A$200,0)),"ID no existe"))</f>
        <v/>
      </c>
    </row>
    <row r="704">
      <c r="A704" s="13" t="n"/>
      <c r="B704" s="13" t="n"/>
      <c r="C704" s="13" t="n"/>
      <c r="D704" s="13" t="n"/>
      <c r="E704" s="13" t="n"/>
      <c r="F704" s="13" t="n"/>
      <c r="G704" s="12">
        <f>IF(B704="","",IFERROR(INDEX(ref_preguntas!$C$2:$C$200,MATCH(B704,ref_preguntas!$A$2:$A$200,0)),"ID no existe"))</f>
        <v/>
      </c>
    </row>
    <row r="705">
      <c r="A705" s="13" t="n"/>
      <c r="B705" s="13" t="n"/>
      <c r="C705" s="13" t="n"/>
      <c r="D705" s="13" t="n"/>
      <c r="E705" s="13" t="n"/>
      <c r="F705" s="13" t="n"/>
      <c r="G705" s="12">
        <f>IF(B705="","",IFERROR(INDEX(ref_preguntas!$C$2:$C$200,MATCH(B705,ref_preguntas!$A$2:$A$200,0)),"ID no existe"))</f>
        <v/>
      </c>
    </row>
    <row r="706">
      <c r="A706" s="13" t="n"/>
      <c r="B706" s="13" t="n"/>
      <c r="C706" s="13" t="n"/>
      <c r="D706" s="13" t="n"/>
      <c r="E706" s="13" t="n"/>
      <c r="F706" s="13" t="n"/>
      <c r="G706" s="12">
        <f>IF(B706="","",IFERROR(INDEX(ref_preguntas!$C$2:$C$200,MATCH(B706,ref_preguntas!$A$2:$A$200,0)),"ID no existe"))</f>
        <v/>
      </c>
    </row>
    <row r="707">
      <c r="A707" s="13" t="n"/>
      <c r="B707" s="13" t="n"/>
      <c r="C707" s="13" t="n"/>
      <c r="D707" s="13" t="n"/>
      <c r="E707" s="13" t="n"/>
      <c r="F707" s="13" t="n"/>
      <c r="G707" s="12">
        <f>IF(B707="","",IFERROR(INDEX(ref_preguntas!$C$2:$C$200,MATCH(B707,ref_preguntas!$A$2:$A$200,0)),"ID no existe"))</f>
        <v/>
      </c>
    </row>
    <row r="708">
      <c r="A708" s="13" t="n"/>
      <c r="B708" s="13" t="n"/>
      <c r="C708" s="13" t="n"/>
      <c r="D708" s="13" t="n"/>
      <c r="E708" s="13" t="n"/>
      <c r="F708" s="13" t="n"/>
      <c r="G708" s="12">
        <f>IF(B708="","",IFERROR(INDEX(ref_preguntas!$C$2:$C$200,MATCH(B708,ref_preguntas!$A$2:$A$200,0)),"ID no existe"))</f>
        <v/>
      </c>
    </row>
    <row r="709">
      <c r="A709" s="13" t="n"/>
      <c r="B709" s="13" t="n"/>
      <c r="C709" s="13" t="n"/>
      <c r="D709" s="13" t="n"/>
      <c r="E709" s="13" t="n"/>
      <c r="F709" s="13" t="n"/>
      <c r="G709" s="12">
        <f>IF(B709="","",IFERROR(INDEX(ref_preguntas!$C$2:$C$200,MATCH(B709,ref_preguntas!$A$2:$A$200,0)),"ID no existe"))</f>
        <v/>
      </c>
    </row>
    <row r="710">
      <c r="A710" s="13" t="n"/>
      <c r="B710" s="13" t="n"/>
      <c r="C710" s="13" t="n"/>
      <c r="D710" s="13" t="n"/>
      <c r="E710" s="13" t="n"/>
      <c r="F710" s="13" t="n"/>
      <c r="G710" s="12">
        <f>IF(B710="","",IFERROR(INDEX(ref_preguntas!$C$2:$C$200,MATCH(B710,ref_preguntas!$A$2:$A$200,0)),"ID no existe"))</f>
        <v/>
      </c>
    </row>
    <row r="711">
      <c r="A711" s="13" t="n"/>
      <c r="B711" s="13" t="n"/>
      <c r="C711" s="13" t="n"/>
      <c r="D711" s="13" t="n"/>
      <c r="E711" s="13" t="n"/>
      <c r="F711" s="13" t="n"/>
      <c r="G711" s="12">
        <f>IF(B711="","",IFERROR(INDEX(ref_preguntas!$C$2:$C$200,MATCH(B711,ref_preguntas!$A$2:$A$200,0)),"ID no existe"))</f>
        <v/>
      </c>
    </row>
    <row r="712">
      <c r="A712" s="13" t="n"/>
      <c r="B712" s="13" t="n"/>
      <c r="C712" s="13" t="n"/>
      <c r="D712" s="13" t="n"/>
      <c r="E712" s="13" t="n"/>
      <c r="F712" s="13" t="n"/>
      <c r="G712" s="12">
        <f>IF(B712="","",IFERROR(INDEX(ref_preguntas!$C$2:$C$200,MATCH(B712,ref_preguntas!$A$2:$A$200,0)),"ID no existe"))</f>
        <v/>
      </c>
    </row>
    <row r="713">
      <c r="A713" s="13" t="n"/>
      <c r="B713" s="13" t="n"/>
      <c r="C713" s="13" t="n"/>
      <c r="D713" s="13" t="n"/>
      <c r="E713" s="13" t="n"/>
      <c r="F713" s="13" t="n"/>
      <c r="G713" s="12">
        <f>IF(B713="","",IFERROR(INDEX(ref_preguntas!$C$2:$C$200,MATCH(B713,ref_preguntas!$A$2:$A$200,0)),"ID no existe"))</f>
        <v/>
      </c>
    </row>
    <row r="714">
      <c r="A714" s="13" t="n"/>
      <c r="B714" s="13" t="n"/>
      <c r="C714" s="13" t="n"/>
      <c r="D714" s="13" t="n"/>
      <c r="E714" s="13" t="n"/>
      <c r="F714" s="13" t="n"/>
      <c r="G714" s="12">
        <f>IF(B714="","",IFERROR(INDEX(ref_preguntas!$C$2:$C$200,MATCH(B714,ref_preguntas!$A$2:$A$200,0)),"ID no existe"))</f>
        <v/>
      </c>
    </row>
    <row r="715">
      <c r="A715" s="13" t="n"/>
      <c r="B715" s="13" t="n"/>
      <c r="C715" s="13" t="n"/>
      <c r="D715" s="13" t="n"/>
      <c r="E715" s="13" t="n"/>
      <c r="F715" s="13" t="n"/>
      <c r="G715" s="12">
        <f>IF(B715="","",IFERROR(INDEX(ref_preguntas!$C$2:$C$200,MATCH(B715,ref_preguntas!$A$2:$A$200,0)),"ID no existe"))</f>
        <v/>
      </c>
    </row>
    <row r="716">
      <c r="A716" s="13" t="n"/>
      <c r="B716" s="13" t="n"/>
      <c r="C716" s="13" t="n"/>
      <c r="D716" s="13" t="n"/>
      <c r="E716" s="13" t="n"/>
      <c r="F716" s="13" t="n"/>
      <c r="G716" s="12">
        <f>IF(B716="","",IFERROR(INDEX(ref_preguntas!$C$2:$C$200,MATCH(B716,ref_preguntas!$A$2:$A$200,0)),"ID no existe"))</f>
        <v/>
      </c>
    </row>
    <row r="717">
      <c r="A717" s="13" t="n"/>
      <c r="B717" s="13" t="n"/>
      <c r="C717" s="13" t="n"/>
      <c r="D717" s="13" t="n"/>
      <c r="E717" s="13" t="n"/>
      <c r="F717" s="13" t="n"/>
      <c r="G717" s="12">
        <f>IF(B717="","",IFERROR(INDEX(ref_preguntas!$C$2:$C$200,MATCH(B717,ref_preguntas!$A$2:$A$200,0)),"ID no existe"))</f>
        <v/>
      </c>
    </row>
    <row r="718">
      <c r="A718" s="13" t="n"/>
      <c r="B718" s="13" t="n"/>
      <c r="C718" s="13" t="n"/>
      <c r="D718" s="13" t="n"/>
      <c r="E718" s="13" t="n"/>
      <c r="F718" s="13" t="n"/>
      <c r="G718" s="12">
        <f>IF(B718="","",IFERROR(INDEX(ref_preguntas!$C$2:$C$200,MATCH(B718,ref_preguntas!$A$2:$A$200,0)),"ID no existe"))</f>
        <v/>
      </c>
    </row>
    <row r="719">
      <c r="A719" s="13" t="n"/>
      <c r="B719" s="13" t="n"/>
      <c r="C719" s="13" t="n"/>
      <c r="D719" s="13" t="n"/>
      <c r="E719" s="13" t="n"/>
      <c r="F719" s="13" t="n"/>
      <c r="G719" s="12">
        <f>IF(B719="","",IFERROR(INDEX(ref_preguntas!$C$2:$C$200,MATCH(B719,ref_preguntas!$A$2:$A$200,0)),"ID no existe"))</f>
        <v/>
      </c>
    </row>
    <row r="720">
      <c r="A720" s="13" t="n"/>
      <c r="B720" s="13" t="n"/>
      <c r="C720" s="13" t="n"/>
      <c r="D720" s="13" t="n"/>
      <c r="E720" s="13" t="n"/>
      <c r="F720" s="13" t="n"/>
      <c r="G720" s="12">
        <f>IF(B720="","",IFERROR(INDEX(ref_preguntas!$C$2:$C$200,MATCH(B720,ref_preguntas!$A$2:$A$200,0)),"ID no existe"))</f>
        <v/>
      </c>
    </row>
    <row r="721">
      <c r="A721" s="13" t="n"/>
      <c r="B721" s="13" t="n"/>
      <c r="C721" s="13" t="n"/>
      <c r="D721" s="13" t="n"/>
      <c r="E721" s="13" t="n"/>
      <c r="F721" s="13" t="n"/>
      <c r="G721" s="12">
        <f>IF(B721="","",IFERROR(INDEX(ref_preguntas!$C$2:$C$200,MATCH(B721,ref_preguntas!$A$2:$A$200,0)),"ID no existe"))</f>
        <v/>
      </c>
    </row>
    <row r="722">
      <c r="A722" s="13" t="n"/>
      <c r="B722" s="13" t="n"/>
      <c r="C722" s="13" t="n"/>
      <c r="D722" s="13" t="n"/>
      <c r="E722" s="13" t="n"/>
      <c r="F722" s="13" t="n"/>
      <c r="G722" s="12">
        <f>IF(B722="","",IFERROR(INDEX(ref_preguntas!$C$2:$C$200,MATCH(B722,ref_preguntas!$A$2:$A$200,0)),"ID no existe"))</f>
        <v/>
      </c>
    </row>
    <row r="723">
      <c r="A723" s="13" t="n"/>
      <c r="B723" s="13" t="n"/>
      <c r="C723" s="13" t="n"/>
      <c r="D723" s="13" t="n"/>
      <c r="E723" s="13" t="n"/>
      <c r="F723" s="13" t="n"/>
      <c r="G723" s="12">
        <f>IF(B723="","",IFERROR(INDEX(ref_preguntas!$C$2:$C$200,MATCH(B723,ref_preguntas!$A$2:$A$200,0)),"ID no existe"))</f>
        <v/>
      </c>
    </row>
    <row r="724">
      <c r="A724" s="13" t="n"/>
      <c r="B724" s="13" t="n"/>
      <c r="C724" s="13" t="n"/>
      <c r="D724" s="13" t="n"/>
      <c r="E724" s="13" t="n"/>
      <c r="F724" s="13" t="n"/>
      <c r="G724" s="12">
        <f>IF(B724="","",IFERROR(INDEX(ref_preguntas!$C$2:$C$200,MATCH(B724,ref_preguntas!$A$2:$A$200,0)),"ID no existe"))</f>
        <v/>
      </c>
    </row>
  </sheetData>
  <dataValidations count="3">
    <dataValidation sqref="A2:A2000" showDropDown="0" showInputMessage="0" showErrorMessage="1" allowBlank="1" errorTitle="Valor no válido" error="Elige un valor de la lista (hoja catalogos)." type="list">
      <formula1>kb_minuta!$A$2:$A$2000</formula1>
    </dataValidation>
    <dataValidation sqref="B2:B2000" showDropDown="0" showInputMessage="0" showErrorMessage="1" allowBlank="1" errorTitle="Valor no válido" error="Elige un valor de la lista (hoja catalogos)." type="list">
      <formula1>ref_preguntas!$A$2:$A$200</formula1>
    </dataValidation>
    <dataValidation sqref="E2:E2000" showDropDown="0" showInputMessage="0" showErrorMessage="1" allowBlank="1" errorTitle="Valor no válido" error="Elige un valor de la lista (hoja catalogos)." type="list">
      <formula1>catalogos!$M$2:$M$3</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27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7" customWidth="1" min="2" max="2"/>
    <col width="15" customWidth="1" min="3" max="3"/>
    <col width="80" customWidth="1" min="4" max="4"/>
    <col width="11" customWidth="1" min="5" max="5"/>
    <col width="9" customWidth="1" min="6" max="6"/>
  </cols>
  <sheetData>
    <row r="1" ht="34" customHeight="1">
      <c r="A1" s="9" t="inlineStr">
        <is>
          <t>minuta_id</t>
        </is>
      </c>
      <c r="B1" s="9" t="inlineStr">
        <is>
          <t>orden</t>
        </is>
      </c>
      <c r="C1" s="9" t="inlineStr">
        <is>
          <t>seccion</t>
        </is>
      </c>
      <c r="D1" s="9" t="inlineStr">
        <is>
          <t>texto</t>
        </is>
      </c>
      <c r="E1" s="9" t="inlineStr">
        <is>
          <t>pregunta_id</t>
        </is>
      </c>
      <c r="F1" s="9" t="inlineStr">
        <is>
          <t>regla_id</t>
        </is>
      </c>
    </row>
    <row r="2">
      <c r="A2" s="10" t="inlineStr">
        <is>
          <t>MH-001</t>
        </is>
      </c>
      <c r="B2" s="10" t="n">
        <v>1</v>
      </c>
      <c r="C2" s="10" t="inlineStr">
        <is>
          <t>ANTECEDENTE</t>
        </is>
      </c>
      <c r="D2" s="10" t="inlineStr">
        <is>
          <t>Entrega de impresoras.</t>
        </is>
      </c>
      <c r="E2" s="10" t="inlineStr"/>
      <c r="F2" s="10" t="inlineStr"/>
    </row>
    <row r="3">
      <c r="A3" s="10" t="inlineStr">
        <is>
          <t>MH-001</t>
        </is>
      </c>
      <c r="B3" s="10" t="n">
        <v>2</v>
      </c>
      <c r="C3" s="10" t="inlineStr">
        <is>
          <t>ANTECEDENTE</t>
        </is>
      </c>
      <c r="D3" s="10" t="inlineStr">
        <is>
          <t>Configuración de impresoras.</t>
        </is>
      </c>
      <c r="E3" s="10" t="inlineStr"/>
      <c r="F3" s="10" t="inlineStr"/>
    </row>
    <row r="4">
      <c r="A4" s="10" t="inlineStr">
        <is>
          <t>MH-001</t>
        </is>
      </c>
      <c r="B4" s="10" t="n">
        <v>3</v>
      </c>
      <c r="C4" s="10" t="inlineStr">
        <is>
          <t>ANTECEDENTE</t>
        </is>
      </c>
      <c r="D4" s="10" t="inlineStr">
        <is>
          <t>Creación de tienda en IDPos.</t>
        </is>
      </c>
      <c r="E4" s="10" t="inlineStr"/>
      <c r="F4" s="10" t="inlineStr"/>
    </row>
    <row r="5">
      <c r="A5" s="10" t="inlineStr">
        <is>
          <t>MH-001</t>
        </is>
      </c>
      <c r="B5" s="10" t="n">
        <v>4</v>
      </c>
      <c r="C5" s="10" t="inlineStr">
        <is>
          <t>ANTECEDENTE</t>
        </is>
      </c>
      <c r="D5" s="10" t="inlineStr">
        <is>
          <t>Creación de zonas de trabajo.</t>
        </is>
      </c>
      <c r="E5" s="10" t="inlineStr"/>
      <c r="F5" s="10" t="inlineStr"/>
    </row>
    <row r="6">
      <c r="A6" s="10" t="inlineStr">
        <is>
          <t>MH-001</t>
        </is>
      </c>
      <c r="B6" s="10" t="n">
        <v>5</v>
      </c>
      <c r="C6" s="10" t="inlineStr">
        <is>
          <t>ANTECEDENTE</t>
        </is>
      </c>
      <c r="D6" s="10" t="inlineStr">
        <is>
          <t>Acompañamiento en el llenado de información.</t>
        </is>
      </c>
      <c r="E6" s="10" t="inlineStr"/>
      <c r="F6" s="10" t="inlineStr"/>
    </row>
    <row r="7">
      <c r="A7" s="10" t="inlineStr">
        <is>
          <t>MH-001</t>
        </is>
      </c>
      <c r="B7" s="10" t="n">
        <v>6</v>
      </c>
      <c r="C7" s="10" t="inlineStr">
        <is>
          <t>DESARROLLO</t>
        </is>
      </c>
      <c r="D7" s="10" t="inlineStr">
        <is>
          <t>Para configurar las impresoras se hizo un mapeo de red.</t>
        </is>
      </c>
      <c r="E7" s="10" t="inlineStr"/>
      <c r="F7" s="10" t="inlineStr"/>
    </row>
    <row r="8">
      <c r="A8" s="10" t="inlineStr">
        <is>
          <t>MH-001</t>
        </is>
      </c>
      <c r="B8" s="10" t="n">
        <v>7</v>
      </c>
      <c r="C8" s="10" t="inlineStr">
        <is>
          <t>DESARROLLO</t>
        </is>
      </c>
      <c r="D8" s="10" t="inlineStr">
        <is>
          <t>Se armaron cables de red para cada impresora, excepto la de cocina porque está lejos del punto de red.</t>
        </is>
      </c>
      <c r="E8" s="10" t="inlineStr">
        <is>
          <t>U1</t>
        </is>
      </c>
      <c r="F8" s="10" t="inlineStr">
        <is>
          <t>R06</t>
        </is>
      </c>
    </row>
    <row r="9">
      <c r="A9" s="10" t="inlineStr">
        <is>
          <t>MH-001</t>
        </is>
      </c>
      <c r="B9" s="10" t="n">
        <v>8</v>
      </c>
      <c r="C9" s="10" t="inlineStr">
        <is>
          <t>DESARROLLO</t>
        </is>
      </c>
      <c r="D9" s="10" t="inlineStr">
        <is>
          <t>Se creó la tienda en IDPos y se configuraron impresoras, zonas de trabajo y numeración de comprobantes.</t>
        </is>
      </c>
      <c r="E9" s="10" t="inlineStr"/>
      <c r="F9" s="10" t="inlineStr"/>
    </row>
    <row r="10">
      <c r="A10" s="10" t="inlineStr">
        <is>
          <t>MH-002</t>
        </is>
      </c>
      <c r="B10" s="10" t="n">
        <v>1</v>
      </c>
      <c r="C10" s="10" t="inlineStr">
        <is>
          <t>ANTECEDENTE</t>
        </is>
      </c>
      <c r="D10" s="10" t="inlineStr">
        <is>
          <t>Revisión del sistema de impresión del Raspberry y capacitación sobre creación de cupones.</t>
        </is>
      </c>
      <c r="E10" s="10" t="inlineStr"/>
      <c r="F10" s="10" t="inlineStr"/>
    </row>
    <row r="11">
      <c r="A11" s="10" t="inlineStr">
        <is>
          <t>MH-002</t>
        </is>
      </c>
      <c r="B11" s="10" t="n">
        <v>2</v>
      </c>
      <c r="C11" s="10" t="inlineStr">
        <is>
          <t>DESARROLLO</t>
        </is>
      </c>
      <c r="D11" s="10" t="inlineStr">
        <is>
          <t>Capacitación a la parte administrativa y caja sobre creación y uso de cupones.</t>
        </is>
      </c>
      <c r="E11" s="10" t="inlineStr"/>
      <c r="F11" s="10" t="inlineStr">
        <is>
          <t>A04</t>
        </is>
      </c>
    </row>
    <row r="12">
      <c r="A12" s="10" t="inlineStr">
        <is>
          <t>MH-002</t>
        </is>
      </c>
      <c r="B12" s="10" t="n">
        <v>3</v>
      </c>
      <c r="C12" s="10" t="inlineStr">
        <is>
          <t>DESARROLLO</t>
        </is>
      </c>
      <c r="D12" s="10" t="inlineStr">
        <is>
          <t>Mapeo de red: los equipos estaban configurados directamente hacia el módem.</t>
        </is>
      </c>
      <c r="E12" s="10" t="inlineStr"/>
      <c r="F12" s="10" t="inlineStr">
        <is>
          <t>R18</t>
        </is>
      </c>
    </row>
    <row r="13">
      <c r="A13" s="10" t="inlineStr">
        <is>
          <t>MH-002</t>
        </is>
      </c>
      <c r="B13" s="10" t="n">
        <v>4</v>
      </c>
      <c r="C13" s="10" t="inlineStr">
        <is>
          <t>DESARROLLO</t>
        </is>
      </c>
      <c r="D13" s="10" t="inlineStr">
        <is>
          <t>Mantenimiento a equipos de la red (TP-Link, módem, Raspberry).</t>
        </is>
      </c>
      <c r="E13" s="10" t="inlineStr"/>
      <c r="F13" s="10" t="inlineStr">
        <is>
          <t>R27</t>
        </is>
      </c>
    </row>
    <row r="14">
      <c r="A14" s="10" t="inlineStr">
        <is>
          <t>MH-002</t>
        </is>
      </c>
      <c r="B14" s="10" t="n">
        <v>5</v>
      </c>
      <c r="C14" s="10" t="inlineStr">
        <is>
          <t>DESARROLLO</t>
        </is>
      </c>
      <c r="D14" s="10" t="inlineStr">
        <is>
          <t>Se armaron cables de red a medida, se cambiaron todos por Cat6 (más resistentes al calor) y se rotularon.</t>
        </is>
      </c>
      <c r="E14" s="10" t="inlineStr">
        <is>
          <t>P39</t>
        </is>
      </c>
      <c r="F14" s="10" t="inlineStr">
        <is>
          <t>R09</t>
        </is>
      </c>
    </row>
    <row r="15">
      <c r="A15" s="10" t="inlineStr">
        <is>
          <t>MH-002</t>
        </is>
      </c>
      <c r="B15" s="10" t="n">
        <v>6</v>
      </c>
      <c r="C15" s="10" t="inlineStr">
        <is>
          <t>DESARROLLO</t>
        </is>
      </c>
      <c r="D15" s="10" t="inlineStr">
        <is>
          <t>Limpieza de tomas de energía.</t>
        </is>
      </c>
      <c r="E15" s="10" t="inlineStr"/>
      <c r="F15" s="10" t="inlineStr">
        <is>
          <t>R27</t>
        </is>
      </c>
    </row>
    <row r="16">
      <c r="A16" s="10" t="inlineStr">
        <is>
          <t>MH-002</t>
        </is>
      </c>
      <c r="B16" s="10" t="n">
        <v>7</v>
      </c>
      <c r="C16" s="10" t="inlineStr">
        <is>
          <t>DESARROLLO</t>
        </is>
      </c>
      <c r="D16" s="10" t="inlineStr">
        <is>
          <t>Configuración del TP-Link para red de redundancia de internet.</t>
        </is>
      </c>
      <c r="E16" s="10" t="inlineStr">
        <is>
          <t>P16</t>
        </is>
      </c>
      <c r="F16" s="10" t="inlineStr">
        <is>
          <t>R56</t>
        </is>
      </c>
    </row>
    <row r="17">
      <c r="A17" s="10" t="inlineStr">
        <is>
          <t>MH-002</t>
        </is>
      </c>
      <c r="B17" s="10" t="n">
        <v>8</v>
      </c>
      <c r="C17" s="10" t="inlineStr">
        <is>
          <t>DESARROLLO</t>
        </is>
      </c>
      <c r="D17" s="10" t="inlineStr">
        <is>
          <t>Configuración de impresora y sistema IDPos.</t>
        </is>
      </c>
      <c r="E17" s="10" t="inlineStr"/>
      <c r="F17" s="10" t="inlineStr"/>
    </row>
    <row r="18">
      <c r="A18" s="10" t="inlineStr">
        <is>
          <t>MH-003</t>
        </is>
      </c>
      <c r="B18" s="10" t="n">
        <v>1</v>
      </c>
      <c r="C18" s="10" t="inlineStr">
        <is>
          <t>ANTECEDENTE</t>
        </is>
      </c>
      <c r="D18" s="10" t="inlineStr">
        <is>
          <t>Los programas de impresión no funcionan hasta que se reinicia el internet.</t>
        </is>
      </c>
      <c r="E18" s="10" t="inlineStr"/>
      <c r="F18" s="10" t="inlineStr"/>
    </row>
    <row r="19">
      <c r="A19" s="10" t="inlineStr">
        <is>
          <t>MH-003</t>
        </is>
      </c>
      <c r="B19" s="10" t="n">
        <v>2</v>
      </c>
      <c r="C19" s="10" t="inlineStr">
        <is>
          <t>DESARROLLO</t>
        </is>
      </c>
      <c r="D19" s="10" t="inlineStr">
        <is>
          <t>Se realizó el mapeo de la red.</t>
        </is>
      </c>
      <c r="E19" s="10" t="inlineStr"/>
      <c r="F19" s="10" t="inlineStr"/>
    </row>
    <row r="20">
      <c r="A20" s="10" t="inlineStr">
        <is>
          <t>MH-003</t>
        </is>
      </c>
      <c r="B20" s="10" t="n">
        <v>3</v>
      </c>
      <c r="C20" s="10" t="inlineStr">
        <is>
          <t>OBSERVACION</t>
        </is>
      </c>
      <c r="D20" s="10" t="inlineStr">
        <is>
          <t>La computadora con los programas de impresión estaba conectada vía WiFi.</t>
        </is>
      </c>
      <c r="E20" s="10" t="inlineStr">
        <is>
          <t>P23</t>
        </is>
      </c>
      <c r="F20" s="10" t="inlineStr">
        <is>
          <t>R11</t>
        </is>
      </c>
    </row>
    <row r="21">
      <c r="A21" s="10" t="inlineStr">
        <is>
          <t>MH-003</t>
        </is>
      </c>
      <c r="B21" s="10" t="n">
        <v>4</v>
      </c>
      <c r="C21" s="10" t="inlineStr">
        <is>
          <t>OBSERVACION</t>
        </is>
      </c>
      <c r="D21" s="10" t="inlineStr">
        <is>
          <t>La red de los repetidores compartía internet con las impresoras; no había conexión directa del módem a las impresoras.</t>
        </is>
      </c>
      <c r="E21" s="10" t="inlineStr"/>
      <c r="F21" s="10" t="inlineStr">
        <is>
          <t>R12</t>
        </is>
      </c>
    </row>
    <row r="22">
      <c r="A22" s="10" t="inlineStr">
        <is>
          <t>MH-003</t>
        </is>
      </c>
      <c r="B22" s="10" t="n">
        <v>5</v>
      </c>
      <c r="C22" s="10" t="inlineStr">
        <is>
          <t>OBSERVACION</t>
        </is>
      </c>
      <c r="D22" s="10" t="inlineStr">
        <is>
          <t>Gabinete desorganizado con cable eléctrico libre; mantener cables eléctricos aislados.</t>
        </is>
      </c>
      <c r="E22" s="10" t="inlineStr">
        <is>
          <t>P40</t>
        </is>
      </c>
      <c r="F22" s="10" t="inlineStr">
        <is>
          <t>R08</t>
        </is>
      </c>
    </row>
    <row r="23">
      <c r="A23" s="10" t="inlineStr">
        <is>
          <t>MH-004</t>
        </is>
      </c>
      <c r="B23" s="10" t="n">
        <v>1</v>
      </c>
      <c r="C23" s="10" t="inlineStr">
        <is>
          <t>ANTECEDENTE</t>
        </is>
      </c>
      <c r="D23" s="10" t="inlineStr">
        <is>
          <t>Cuentan con 2 impresoras (1 USB y 1 de red).</t>
        </is>
      </c>
      <c r="E23" s="10" t="inlineStr">
        <is>
          <t>P26</t>
        </is>
      </c>
      <c r="F23" s="10" t="inlineStr"/>
    </row>
    <row r="24">
      <c r="A24" s="10" t="inlineStr">
        <is>
          <t>MH-004</t>
        </is>
      </c>
      <c r="B24" s="10" t="n">
        <v>2</v>
      </c>
      <c r="C24" s="10" t="inlineStr">
        <is>
          <t>OBSERVACION</t>
        </is>
      </c>
      <c r="D24" s="10" t="inlineStr">
        <is>
          <t>PC de caja conectada por adaptador WiFi; tiene puerto de red disponible y se probó la conexión directa por red.</t>
        </is>
      </c>
      <c r="E24" s="10" t="inlineStr">
        <is>
          <t>P23</t>
        </is>
      </c>
      <c r="F24" s="10" t="inlineStr">
        <is>
          <t>R11</t>
        </is>
      </c>
    </row>
    <row r="25">
      <c r="A25" s="10" t="inlineStr">
        <is>
          <t>MH-004</t>
        </is>
      </c>
      <c r="B25" s="10" t="n">
        <v>3</v>
      </c>
      <c r="C25" s="10" t="inlineStr">
        <is>
          <t>OBSERVACION</t>
        </is>
      </c>
      <c r="D25" s="10" t="inlineStr">
        <is>
          <t>La comanda de bebidas se prepara en caja.</t>
        </is>
      </c>
      <c r="E25" s="10" t="inlineStr">
        <is>
          <t>P27</t>
        </is>
      </c>
      <c r="F25" s="10" t="inlineStr"/>
    </row>
    <row r="26">
      <c r="A26" s="10" t="inlineStr">
        <is>
          <t>MH-004</t>
        </is>
      </c>
      <c r="B26" s="10" t="n">
        <v>4</v>
      </c>
      <c r="C26" s="10" t="inlineStr">
        <is>
          <t>OBSERVACION</t>
        </is>
      </c>
      <c r="D26" s="10" t="inlineStr">
        <is>
          <t>Tablets para meseros y para una segunda caja (rush).</t>
        </is>
      </c>
      <c r="E26" s="10" t="inlineStr"/>
      <c r="F26" s="10" t="inlineStr"/>
    </row>
    <row r="27">
      <c r="A27" s="10" t="inlineStr">
        <is>
          <t>MH-004</t>
        </is>
      </c>
      <c r="B27" s="10" t="n">
        <v>5</v>
      </c>
      <c r="C27" s="10" t="inlineStr">
        <is>
          <t>OBSERVACION</t>
        </is>
      </c>
      <c r="D27" s="10" t="inlineStr">
        <is>
          <t>Impresora de caja por USB; impresora de cocina por red (CBX 89E, IP 192.168.100.20).</t>
        </is>
      </c>
      <c r="E27" s="10" t="inlineStr">
        <is>
          <t>P30</t>
        </is>
      </c>
      <c r="F27" s="10" t="inlineStr">
        <is>
          <t>R16</t>
        </is>
      </c>
    </row>
    <row r="28">
      <c r="A28" s="10" t="inlineStr">
        <is>
          <t>MH-004</t>
        </is>
      </c>
      <c r="B28" s="10" t="n">
        <v>6</v>
      </c>
      <c r="C28" s="10" t="inlineStr">
        <is>
          <t>OBSERVACION</t>
        </is>
      </c>
      <c r="D28" s="10" t="inlineStr">
        <is>
          <t>Dos repetidores Huawei (192.168.100.22 y 192.168.100.50).</t>
        </is>
      </c>
      <c r="E28" s="10" t="inlineStr">
        <is>
          <t>P45</t>
        </is>
      </c>
      <c r="F28" s="10" t="inlineStr"/>
    </row>
    <row r="29">
      <c r="A29" s="10" t="inlineStr">
        <is>
          <t>MH-005</t>
        </is>
      </c>
      <c r="B29" s="10" t="n">
        <v>1</v>
      </c>
      <c r="C29" s="10" t="inlineStr">
        <is>
          <t>ANTECEDENTE</t>
        </is>
      </c>
      <c r="D29" s="10" t="inlineStr">
        <is>
          <t>El día previo se reportó que no había internet y que las impresoras no imprimían comandas ni comprobantes.</t>
        </is>
      </c>
      <c r="E29" s="10" t="inlineStr">
        <is>
          <t>P17</t>
        </is>
      </c>
      <c r="F29" s="10" t="inlineStr"/>
    </row>
    <row r="30">
      <c r="A30" s="10" t="inlineStr">
        <is>
          <t>MH-005</t>
        </is>
      </c>
      <c r="B30" s="10" t="n">
        <v>2</v>
      </c>
      <c r="C30" s="10" t="inlineStr">
        <is>
          <t>DESARROLLO</t>
        </is>
      </c>
      <c r="D30" s="10" t="inlineStr">
        <is>
          <t>Solo la PC de caja 1 tenía internet (red Movistar).</t>
        </is>
      </c>
      <c r="E30" s="10" t="inlineStr">
        <is>
          <t>P23</t>
        </is>
      </c>
      <c r="F30" s="10" t="inlineStr"/>
    </row>
    <row r="31">
      <c r="A31" s="10" t="inlineStr">
        <is>
          <t>MH-005</t>
        </is>
      </c>
      <c r="B31" s="10" t="n">
        <v>3</v>
      </c>
      <c r="C31" s="10" t="inlineStr">
        <is>
          <t>OBSERVACION</t>
        </is>
      </c>
      <c r="D31" s="10" t="inlineStr">
        <is>
          <t>Posible desconexión del cable de corriente del router de Claro; por eso no había internet.</t>
        </is>
      </c>
      <c r="E31" s="10" t="inlineStr">
        <is>
          <t>P34</t>
        </is>
      </c>
      <c r="F31" s="10" t="inlineStr">
        <is>
          <t>R03</t>
        </is>
      </c>
    </row>
    <row r="32">
      <c r="A32" s="10" t="inlineStr">
        <is>
          <t>MH-005</t>
        </is>
      </c>
      <c r="B32" s="10" t="n">
        <v>4</v>
      </c>
      <c r="C32" s="10" t="inlineStr">
        <is>
          <t>OBSERVACION</t>
        </is>
      </c>
      <c r="D32" s="10" t="inlineStr">
        <is>
          <t>Un cable de red conectado al módem provocaba caídas de red en todos los dispositivos; se pasaron todos los equipos a la red Movistar.</t>
        </is>
      </c>
      <c r="E32" s="10" t="inlineStr"/>
      <c r="F32" s="10" t="inlineStr">
        <is>
          <t>R29</t>
        </is>
      </c>
    </row>
    <row r="33">
      <c r="A33" s="10" t="inlineStr">
        <is>
          <t>MH-005</t>
        </is>
      </c>
      <c r="B33" s="10" t="n">
        <v>5</v>
      </c>
      <c r="C33" s="10" t="inlineStr">
        <is>
          <t>DESARROLLO</t>
        </is>
      </c>
      <c r="D33" s="10" t="inlineStr">
        <is>
          <t>Se reconfiguraron todas las impresoras en la red Movistar.</t>
        </is>
      </c>
      <c r="E33" s="10" t="inlineStr"/>
      <c r="F33" s="10" t="inlineStr">
        <is>
          <t>A10</t>
        </is>
      </c>
    </row>
    <row r="34">
      <c r="A34" s="10" t="inlineStr">
        <is>
          <t>MH-005</t>
        </is>
      </c>
      <c r="B34" s="10" t="n">
        <v>6</v>
      </c>
      <c r="C34" s="10" t="inlineStr">
        <is>
          <t>OBSERVACION</t>
        </is>
      </c>
      <c r="D34" s="10" t="inlineStr">
        <is>
          <t>La red llegaba inestable a la barra 1 que reparte a las PC de caja; el switch de la barra fallaba y se reemplazó.</t>
        </is>
      </c>
      <c r="E34" s="10" t="inlineStr"/>
      <c r="F34" s="10" t="inlineStr">
        <is>
          <t>R31</t>
        </is>
      </c>
    </row>
    <row r="35">
      <c r="A35" s="10" t="inlineStr">
        <is>
          <t>MH-005</t>
        </is>
      </c>
      <c r="B35" s="10" t="n">
        <v>7</v>
      </c>
      <c r="C35" s="10" t="inlineStr">
        <is>
          <t>DESARROLLO</t>
        </is>
      </c>
      <c r="D35" s="10" t="inlineStr">
        <is>
          <t>Se conectaron las tablets por WiFi a la red DORCHER CLIENTES (15/04/2023).</t>
        </is>
      </c>
      <c r="E35" s="10" t="inlineStr"/>
      <c r="F35" s="10" t="inlineStr">
        <is>
          <t>R32</t>
        </is>
      </c>
    </row>
    <row r="36">
      <c r="A36" s="10" t="inlineStr">
        <is>
          <t>MH-006</t>
        </is>
      </c>
      <c r="B36" s="10" t="n">
        <v>1</v>
      </c>
      <c r="C36" s="10" t="inlineStr">
        <is>
          <t>ANTECEDENTE</t>
        </is>
      </c>
      <c r="D36" s="10" t="inlineStr">
        <is>
          <t>Se movió el cable de internet del segundo piso del router Movistar al de Claro; las impresoras dejaron de imprimir.</t>
        </is>
      </c>
      <c r="E36" s="10" t="inlineStr"/>
      <c r="F36" s="10" t="inlineStr">
        <is>
          <t>R29</t>
        </is>
      </c>
    </row>
    <row r="37">
      <c r="A37" s="10" t="inlineStr">
        <is>
          <t>MH-006</t>
        </is>
      </c>
      <c r="B37" s="10" t="n">
        <v>2</v>
      </c>
      <c r="C37" s="10" t="inlineStr">
        <is>
          <t>DESARROLLO</t>
        </is>
      </c>
      <c r="D37" s="10" t="inlineStr">
        <is>
          <t>Se recableó el segundo piso (PC caja 3, impresoras de caja 3, barra 2 y cocina) para que todo quede en la red Claro.</t>
        </is>
      </c>
      <c r="E37" s="10" t="inlineStr"/>
      <c r="F37" s="10" t="inlineStr">
        <is>
          <t>R29</t>
        </is>
      </c>
    </row>
    <row r="38">
      <c r="A38" s="10" t="inlineStr">
        <is>
          <t>MH-006</t>
        </is>
      </c>
      <c r="B38" s="10" t="n">
        <v>3</v>
      </c>
      <c r="C38" s="10" t="inlineStr">
        <is>
          <t>DESARROLLO</t>
        </is>
      </c>
      <c r="D38" s="10" t="inlineStr">
        <is>
          <t>Se reconfiguraron todos los equipos en la red Claro, se probó la impresión y la velocidad en cada PC de caja (~92–93 Mbps).</t>
        </is>
      </c>
      <c r="E38" s="10" t="inlineStr"/>
      <c r="F38" s="10" t="inlineStr">
        <is>
          <t>A10</t>
        </is>
      </c>
    </row>
    <row r="39">
      <c r="A39" s="10" t="inlineStr">
        <is>
          <t>MH-006</t>
        </is>
      </c>
      <c r="B39" s="10" t="n">
        <v>4</v>
      </c>
      <c r="C39" s="10" t="inlineStr">
        <is>
          <t>DESARROLLO</t>
        </is>
      </c>
      <c r="D39" s="10" t="inlineStr">
        <is>
          <t>Se rotularon todos los cables de red de equipos e impresoras conectados al router.</t>
        </is>
      </c>
      <c r="E39" s="10" t="inlineStr"/>
      <c r="F39" s="10" t="inlineStr">
        <is>
          <t>R30</t>
        </is>
      </c>
    </row>
    <row r="40">
      <c r="A40" s="10" t="inlineStr">
        <is>
          <t>MH-006</t>
        </is>
      </c>
      <c r="B40" s="10" t="n">
        <v>5</v>
      </c>
      <c r="C40" s="10" t="inlineStr">
        <is>
          <t>OBSERVACION</t>
        </is>
      </c>
      <c r="D40" s="10" t="inlineStr">
        <is>
          <t>Las 6 tablets tienen conectividad variable: algunas solo se conectan a DORCHER SISTEMAS y otras a DORCHER CLIENTES.</t>
        </is>
      </c>
      <c r="E40" s="10" t="inlineStr"/>
      <c r="F40" s="10" t="inlineStr">
        <is>
          <t>R32</t>
        </is>
      </c>
    </row>
    <row r="41">
      <c r="A41" s="10" t="inlineStr">
        <is>
          <t>MH-007</t>
        </is>
      </c>
      <c r="B41" s="10" t="n">
        <v>1</v>
      </c>
      <c r="C41" s="10" t="inlineStr">
        <is>
          <t>ANTECEDENTE</t>
        </is>
      </c>
      <c r="D41" s="10" t="inlineStr">
        <is>
          <t>Local sin internet; se pidió un chip Entel 4G para el monitor Summi y poder comandar e imprimir comprobantes.</t>
        </is>
      </c>
      <c r="E41" s="10" t="inlineStr">
        <is>
          <t>P17</t>
        </is>
      </c>
      <c r="F41" s="10" t="inlineStr">
        <is>
          <t>R56</t>
        </is>
      </c>
    </row>
    <row r="42">
      <c r="A42" s="10" t="inlineStr">
        <is>
          <t>MH-007</t>
        </is>
      </c>
      <c r="B42" s="10" t="n">
        <v>2</v>
      </c>
      <c r="C42" s="10" t="inlineStr">
        <is>
          <t>DESARROLLO</t>
        </is>
      </c>
      <c r="D42" s="10" t="inlineStr">
        <is>
          <t>Las áreas de preparación no tenían sistema de impresión; solo se comandaba desde el monitor Summi.</t>
        </is>
      </c>
      <c r="E42" s="10" t="inlineStr"/>
      <c r="F42" s="10" t="inlineStr"/>
    </row>
    <row r="43">
      <c r="A43" s="10" t="inlineStr">
        <is>
          <t>MH-007</t>
        </is>
      </c>
      <c r="B43" s="10" t="n">
        <v>3</v>
      </c>
      <c r="C43" s="10" t="inlineStr">
        <is>
          <t>DESARROLLO</t>
        </is>
      </c>
      <c r="D43" s="10" t="inlineStr">
        <is>
          <t>Se adquirió un TP-Link con chip 4G (10 GB) como respaldo automático ante caídas para PCs e impresoras.</t>
        </is>
      </c>
      <c r="E43" s="10" t="inlineStr">
        <is>
          <t>P16</t>
        </is>
      </c>
      <c r="F43" s="10" t="inlineStr">
        <is>
          <t>R56</t>
        </is>
      </c>
    </row>
    <row r="44">
      <c r="A44" s="10" t="inlineStr">
        <is>
          <t>MH-007</t>
        </is>
      </c>
      <c r="B44" s="10" t="n">
        <v>4</v>
      </c>
      <c r="C44" s="10" t="inlineStr">
        <is>
          <t>OBSERVACION</t>
        </is>
      </c>
      <c r="D44" s="10" t="inlineStr">
        <is>
          <t>El TP-Link solo tiene 3 puertos: la barra 1 de makis quedó fuera de la red de respaldo.</t>
        </is>
      </c>
      <c r="E44" s="10" t="inlineStr">
        <is>
          <t>P38</t>
        </is>
      </c>
      <c r="F44" s="10" t="inlineStr">
        <is>
          <t>R48</t>
        </is>
      </c>
    </row>
    <row r="45">
      <c r="A45" s="10" t="inlineStr">
        <is>
          <t>MH-008</t>
        </is>
      </c>
      <c r="B45" s="10" t="n">
        <v>1</v>
      </c>
      <c r="C45" s="10" t="inlineStr">
        <is>
          <t>ANTECEDENTE</t>
        </is>
      </c>
      <c r="D45" s="10" t="inlineStr">
        <is>
          <t>Revisión del sistema de impresión del Raspberry.</t>
        </is>
      </c>
      <c r="E45" s="10" t="inlineStr"/>
      <c r="F45" s="10" t="inlineStr"/>
    </row>
    <row r="46">
      <c r="A46" s="10" t="inlineStr">
        <is>
          <t>MH-008</t>
        </is>
      </c>
      <c r="B46" s="10" t="n">
        <v>2</v>
      </c>
      <c r="C46" s="10" t="inlineStr">
        <is>
          <t>DESARROLLO</t>
        </is>
      </c>
      <c r="D46" s="10" t="inlineStr">
        <is>
          <t>Lugares de impresión: Recepción, Bodegón y Lagar. Se hizo el mapeo de red y se cambió el cable de la impresora de Bodegón.</t>
        </is>
      </c>
      <c r="E46" s="10" t="inlineStr">
        <is>
          <t>P25</t>
        </is>
      </c>
      <c r="F46" s="10" t="inlineStr"/>
    </row>
    <row r="47">
      <c r="A47" s="10" t="inlineStr">
        <is>
          <t>MH-008</t>
        </is>
      </c>
      <c r="B47" s="10" t="n">
        <v>3</v>
      </c>
      <c r="C47" s="10" t="inlineStr">
        <is>
          <t>OBSERVACION</t>
        </is>
      </c>
      <c r="D47" s="10" t="inlineStr">
        <is>
          <t>El Raspberry estaba en la barra de Bodegón, sobre la mesa de trabajo del personal.</t>
        </is>
      </c>
      <c r="E47" s="10" t="inlineStr"/>
      <c r="F47" s="10" t="inlineStr">
        <is>
          <t>R34</t>
        </is>
      </c>
    </row>
    <row r="48">
      <c r="A48" s="10" t="inlineStr">
        <is>
          <t>MH-008</t>
        </is>
      </c>
      <c r="B48" s="10" t="n">
        <v>4</v>
      </c>
      <c r="C48" s="10" t="inlineStr">
        <is>
          <t>OBSERVACION</t>
        </is>
      </c>
      <c r="D48" s="10" t="inlineStr">
        <is>
          <t>No se pudo conectar el Raspberry: faltaba el personal de mantenimiento y el switch.</t>
        </is>
      </c>
      <c r="E48" s="10" t="inlineStr"/>
      <c r="F48" s="10" t="inlineStr">
        <is>
          <t>R26</t>
        </is>
      </c>
    </row>
    <row r="49">
      <c r="A49" s="10" t="inlineStr">
        <is>
          <t>MH-008</t>
        </is>
      </c>
      <c r="B49" s="10" t="n">
        <v>5</v>
      </c>
      <c r="C49" s="10" t="inlineStr">
        <is>
          <t>OBSERVACION</t>
        </is>
      </c>
      <c r="D49" s="10" t="inlineStr">
        <is>
          <t>Proveedor Hughesnet (satelital): al agotar los 10 GB baja la velocidad; se midieron 2.73 Mbps.</t>
        </is>
      </c>
      <c r="E49" s="10" t="inlineStr">
        <is>
          <t>P13</t>
        </is>
      </c>
      <c r="F49" s="10" t="inlineStr">
        <is>
          <t>R33</t>
        </is>
      </c>
    </row>
    <row r="50">
      <c r="A50" s="10" t="inlineStr">
        <is>
          <t>MH-008</t>
        </is>
      </c>
      <c r="B50" s="10" t="n">
        <v>6</v>
      </c>
      <c r="C50" s="10" t="inlineStr">
        <is>
          <t>OBSERVACION</t>
        </is>
      </c>
      <c r="D50" s="10" t="inlineStr">
        <is>
          <t>Con internet satelital la latencia es alta; la PC de caja estaba conectada por WiFi.</t>
        </is>
      </c>
      <c r="E50" s="10" t="inlineStr">
        <is>
          <t>P23</t>
        </is>
      </c>
      <c r="F50" s="10" t="inlineStr">
        <is>
          <t>R11</t>
        </is>
      </c>
    </row>
    <row r="51">
      <c r="A51" s="10" t="inlineStr">
        <is>
          <t>MH-008</t>
        </is>
      </c>
      <c r="B51" s="10" t="n">
        <v>7</v>
      </c>
      <c r="C51" s="10" t="inlineStr">
        <is>
          <t>OBSERVACION</t>
        </is>
      </c>
      <c r="D51" s="10" t="inlineStr">
        <is>
          <t>Mensajes 'Network Error' con datos móviles (lejos de la antena) y 'Server Error' en Bodegón; se actualizó el sistema de impresión.</t>
        </is>
      </c>
      <c r="E51" s="10" t="inlineStr"/>
      <c r="F51" s="10" t="inlineStr">
        <is>
          <t>R36</t>
        </is>
      </c>
    </row>
    <row r="52">
      <c r="A52" s="10" t="inlineStr">
        <is>
          <t>MH-008</t>
        </is>
      </c>
      <c r="B52" s="10" t="n">
        <v>8</v>
      </c>
      <c r="C52" s="10" t="inlineStr">
        <is>
          <t>OBSERVACION</t>
        </is>
      </c>
      <c r="D52" s="10" t="inlineStr">
        <is>
          <t>La PC de recepción tenía zona horaria de México y las aperturas se registraban en días anteriores; se corrigió.</t>
        </is>
      </c>
      <c r="E52" s="10" t="inlineStr"/>
      <c r="F52" s="10" t="inlineStr">
        <is>
          <t>R35</t>
        </is>
      </c>
    </row>
    <row r="53">
      <c r="A53" s="10" t="inlineStr">
        <is>
          <t>MH-009</t>
        </is>
      </c>
      <c r="B53" s="10" t="n">
        <v>1</v>
      </c>
      <c r="C53" s="10" t="inlineStr">
        <is>
          <t>OBSERVACION</t>
        </is>
      </c>
      <c r="D53" s="10" t="inlineStr">
        <is>
          <t>La impresora de caja es USB; para pre-cuentas desde tablets y comandas en caja se necesita una impresora de red.</t>
        </is>
      </c>
      <c r="E53" s="10" t="inlineStr">
        <is>
          <t>P30</t>
        </is>
      </c>
      <c r="F53" s="10" t="inlineStr">
        <is>
          <t>R16</t>
        </is>
      </c>
    </row>
    <row r="54">
      <c r="A54" s="10" t="inlineStr">
        <is>
          <t>MH-009</t>
        </is>
      </c>
      <c r="B54" s="10" t="n">
        <v>2</v>
      </c>
      <c r="C54" s="10" t="inlineStr">
        <is>
          <t>OBSERVACION</t>
        </is>
      </c>
      <c r="D54" s="10" t="inlineStr">
        <is>
          <t>No hay punto de red para la impresora de caja.</t>
        </is>
      </c>
      <c r="E54" s="10" t="inlineStr">
        <is>
          <t>U1</t>
        </is>
      </c>
      <c r="F54" s="10" t="inlineStr">
        <is>
          <t>R06</t>
        </is>
      </c>
    </row>
    <row r="55">
      <c r="A55" s="10" t="inlineStr">
        <is>
          <t>MH-010</t>
        </is>
      </c>
      <c r="B55" s="10" t="n">
        <v>1</v>
      </c>
      <c r="C55" s="10" t="inlineStr">
        <is>
          <t>OBSERVACION</t>
        </is>
      </c>
      <c r="D55" s="10" t="inlineStr">
        <is>
          <t>Los cables de red de las impresoras están holgados; puede causar intermitencia.</t>
        </is>
      </c>
      <c r="E55" s="10" t="inlineStr"/>
      <c r="F55" s="10" t="inlineStr">
        <is>
          <t>R37</t>
        </is>
      </c>
    </row>
    <row r="56">
      <c r="A56" s="10" t="inlineStr">
        <is>
          <t>MH-011</t>
        </is>
      </c>
      <c r="B56" s="10" t="n">
        <v>1</v>
      </c>
      <c r="C56" s="10" t="inlineStr">
        <is>
          <t>OBSERVACION</t>
        </is>
      </c>
      <c r="D56" s="10" t="inlineStr">
        <is>
          <t>Las tres impresoras (caja, brasas, cocina) están conectadas por Ethernet.</t>
        </is>
      </c>
      <c r="E56" s="10" t="inlineStr">
        <is>
          <t>P30</t>
        </is>
      </c>
      <c r="F56" s="10" t="inlineStr"/>
    </row>
    <row r="57">
      <c r="A57" s="10" t="inlineStr">
        <is>
          <t>MH-011</t>
        </is>
      </c>
      <c r="B57" s="10" t="n">
        <v>2</v>
      </c>
      <c r="C57" s="10" t="inlineStr">
        <is>
          <t>OBSERVACION</t>
        </is>
      </c>
      <c r="D57" s="10" t="inlineStr">
        <is>
          <t>Dos pisos con una sola tablet; repetidor en la escalera del piso 2.</t>
        </is>
      </c>
      <c r="E57" s="10" t="inlineStr">
        <is>
          <t>P10</t>
        </is>
      </c>
      <c r="F57" s="10" t="inlineStr">
        <is>
          <t>R39</t>
        </is>
      </c>
    </row>
    <row r="58">
      <c r="A58" s="10" t="inlineStr">
        <is>
          <t>MH-012</t>
        </is>
      </c>
      <c r="B58" s="10" t="n">
        <v>1</v>
      </c>
      <c r="C58" s="10" t="inlineStr">
        <is>
          <t>OBSERVACION</t>
        </is>
      </c>
      <c r="D58" s="10" t="inlineStr">
        <is>
          <t>Se validaron los equipos y su funcionamiento para la implementación.</t>
        </is>
      </c>
      <c r="E58" s="10" t="inlineStr"/>
      <c r="F58" s="10" t="inlineStr"/>
    </row>
    <row r="59">
      <c r="A59" s="10" t="inlineStr">
        <is>
          <t>MH-012</t>
        </is>
      </c>
      <c r="B59" s="10" t="n">
        <v>2</v>
      </c>
      <c r="C59" s="10" t="inlineStr">
        <is>
          <t>OBSERVACION</t>
        </is>
      </c>
      <c r="D59" s="10" t="inlineStr">
        <is>
          <t>La impresora de caja tiene el botón de feed inoperativo (no relevante).</t>
        </is>
      </c>
      <c r="E59" s="10" t="inlineStr"/>
      <c r="F59" s="10" t="inlineStr"/>
    </row>
    <row r="60">
      <c r="A60" s="10" t="inlineStr">
        <is>
          <t>MH-013</t>
        </is>
      </c>
      <c r="B60" s="10" t="n">
        <v>1</v>
      </c>
      <c r="C60" s="10" t="inlineStr">
        <is>
          <t>OBSERVACION</t>
        </is>
      </c>
      <c r="D60" s="10" t="inlineStr">
        <is>
          <t>En la barra del piso 2 preparan bebidas sin recibir comandas.</t>
        </is>
      </c>
      <c r="E60" s="10" t="inlineStr">
        <is>
          <t>P25</t>
        </is>
      </c>
      <c r="F60" s="10" t="inlineStr">
        <is>
          <t>R38</t>
        </is>
      </c>
    </row>
    <row r="61">
      <c r="A61" s="10" t="inlineStr">
        <is>
          <t>MH-013</t>
        </is>
      </c>
      <c r="B61" s="10" t="n">
        <v>2</v>
      </c>
      <c r="C61" s="10" t="inlineStr">
        <is>
          <t>OBSERVACION</t>
        </is>
      </c>
      <c r="D61" s="10" t="inlineStr">
        <is>
          <t>Solo hay una impresora de red para pre-cuenta en la caja del piso 1.</t>
        </is>
      </c>
      <c r="E61" s="10" t="inlineStr">
        <is>
          <t>P26</t>
        </is>
      </c>
      <c r="F61" s="10" t="inlineStr"/>
    </row>
    <row r="62">
      <c r="A62" s="10" t="inlineStr">
        <is>
          <t>MH-014</t>
        </is>
      </c>
      <c r="B62" s="10" t="n">
        <v>1</v>
      </c>
      <c r="C62" s="10" t="inlineStr">
        <is>
          <t>OBSERVACION</t>
        </is>
      </c>
      <c r="D62" s="10" t="inlineStr">
        <is>
          <t>La impresora de caja solo tiene puerto USB; se necesita una con Ethernet para comandas y pre-cuentas desde tablets.</t>
        </is>
      </c>
      <c r="E62" s="10" t="inlineStr">
        <is>
          <t>P30</t>
        </is>
      </c>
      <c r="F62" s="10" t="inlineStr">
        <is>
          <t>R16</t>
        </is>
      </c>
    </row>
    <row r="63">
      <c r="A63" s="10" t="inlineStr">
        <is>
          <t>MH-014</t>
        </is>
      </c>
      <c r="B63" s="10" t="n">
        <v>2</v>
      </c>
      <c r="C63" s="10" t="inlineStr">
        <is>
          <t>OBSERVACION</t>
        </is>
      </c>
      <c r="D63" s="10" t="inlineStr">
        <is>
          <t>El router principal no tiene puertos libres para cablear la impresora de caja.</t>
        </is>
      </c>
      <c r="E63" s="10" t="inlineStr"/>
      <c r="F63" s="10" t="inlineStr">
        <is>
          <t>R48</t>
        </is>
      </c>
    </row>
    <row r="64">
      <c r="A64" s="10" t="inlineStr">
        <is>
          <t>MH-014</t>
        </is>
      </c>
      <c r="B64" s="10" t="n">
        <v>3</v>
      </c>
      <c r="C64" s="10" t="inlineStr">
        <is>
          <t>OBSERVACION</t>
        </is>
      </c>
      <c r="D64" s="10" t="inlineStr">
        <is>
          <t>La impresora de cocina-brasas tiene el botón de feed averiado; no se pudo sacar el selftest.</t>
        </is>
      </c>
      <c r="E64" s="10" t="inlineStr"/>
      <c r="F64" s="10" t="inlineStr"/>
    </row>
    <row r="65">
      <c r="A65" s="10" t="inlineStr">
        <is>
          <t>MH-015</t>
        </is>
      </c>
      <c r="B65" s="10" t="n">
        <v>1</v>
      </c>
      <c r="C65" s="10" t="inlineStr">
        <is>
          <t>OBSERVACION</t>
        </is>
      </c>
      <c r="D65" s="10" t="inlineStr">
        <is>
          <t>La impresora de caja tiene puerto Ethernet pero no está conectada a la red (IP desconfigurada).</t>
        </is>
      </c>
      <c r="E65" s="10" t="inlineStr">
        <is>
          <t>P30</t>
        </is>
      </c>
      <c r="F65" s="10" t="inlineStr">
        <is>
          <t>R06</t>
        </is>
      </c>
    </row>
    <row r="66">
      <c r="A66" s="10" t="inlineStr">
        <is>
          <t>MH-015</t>
        </is>
      </c>
      <c r="B66" s="10" t="n">
        <v>2</v>
      </c>
      <c r="C66" s="10" t="inlineStr">
        <is>
          <t>OBSERVACION</t>
        </is>
      </c>
      <c r="D66" s="10" t="inlineStr">
        <is>
          <t>Barra del piso 2 sin atención; hay PC estación de mozo y repetidor.</t>
        </is>
      </c>
      <c r="E66" s="10" t="inlineStr"/>
      <c r="F66" s="10" t="inlineStr"/>
    </row>
    <row r="67">
      <c r="A67" s="10" t="inlineStr">
        <is>
          <t>MH-016</t>
        </is>
      </c>
      <c r="B67" s="10" t="n">
        <v>1</v>
      </c>
      <c r="C67" s="10" t="inlineStr">
        <is>
          <t>OBSERVACION</t>
        </is>
      </c>
      <c r="D67" s="10" t="inlineStr">
        <is>
          <t>La tablet se usa para toda la operación de venta: es la caja principal (no hay PC).</t>
        </is>
      </c>
      <c r="E67" s="10" t="inlineStr">
        <is>
          <t>P22</t>
        </is>
      </c>
      <c r="F67" s="10" t="inlineStr">
        <is>
          <t>R47</t>
        </is>
      </c>
    </row>
    <row r="68">
      <c r="A68" s="10" t="inlineStr">
        <is>
          <t>MH-016</t>
        </is>
      </c>
      <c r="B68" s="10" t="n">
        <v>2</v>
      </c>
      <c r="C68" s="10" t="inlineStr">
        <is>
          <t>OBSERVACION</t>
        </is>
      </c>
      <c r="D68" s="10" t="inlineStr">
        <is>
          <t>Impresora 3nStar (192.168.1.230) para boletas y facturas, uso no recurrente.</t>
        </is>
      </c>
      <c r="E68" s="10" t="inlineStr">
        <is>
          <t>P29</t>
        </is>
      </c>
      <c r="F68" s="10" t="inlineStr"/>
    </row>
    <row r="69">
      <c r="A69" s="10" t="inlineStr">
        <is>
          <t>MH-016</t>
        </is>
      </c>
      <c r="B69" s="10" t="n">
        <v>3</v>
      </c>
      <c r="C69" s="10" t="inlineStr">
        <is>
          <t>OBSERVACION</t>
        </is>
      </c>
      <c r="D69" s="10" t="inlineStr">
        <is>
          <t>Subida de internet muy baja: 2.52 Mbps.</t>
        </is>
      </c>
      <c r="E69" s="10" t="inlineStr"/>
      <c r="F69" s="10" t="inlineStr">
        <is>
          <t>R17</t>
        </is>
      </c>
    </row>
    <row r="70">
      <c r="A70" s="10" t="inlineStr">
        <is>
          <t>MH-017</t>
        </is>
      </c>
      <c r="B70" s="10" t="n">
        <v>1</v>
      </c>
      <c r="C70" s="10" t="inlineStr">
        <is>
          <t>OBSERVACION</t>
        </is>
      </c>
      <c r="D70" s="10" t="inlineStr">
        <is>
          <t>Access point Movistar (192.168.5.1) reparte red a la impresora de salón y WiFi para tablet y clientes.</t>
        </is>
      </c>
      <c r="E70" s="10" t="inlineStr"/>
      <c r="F70" s="10" t="inlineStr"/>
    </row>
    <row r="71">
      <c r="A71" s="10" t="inlineStr">
        <is>
          <t>MH-017</t>
        </is>
      </c>
      <c r="B71" s="10" t="n">
        <v>2</v>
      </c>
      <c r="C71" s="10" t="inlineStr">
        <is>
          <t>OBSERVACION</t>
        </is>
      </c>
      <c r="D71" s="10" t="inlineStr">
        <is>
          <t>Impresora 3nStar con cambio de IP pendiente.</t>
        </is>
      </c>
      <c r="E71" s="10" t="inlineStr">
        <is>
          <t>P30</t>
        </is>
      </c>
      <c r="F71" s="10" t="inlineStr">
        <is>
          <t>R24</t>
        </is>
      </c>
    </row>
    <row r="72">
      <c r="A72" s="10" t="inlineStr">
        <is>
          <t>MH-017</t>
        </is>
      </c>
      <c r="B72" s="10" t="n">
        <v>3</v>
      </c>
      <c r="C72" s="10" t="inlineStr">
        <is>
          <t>OBSERVACION</t>
        </is>
      </c>
      <c r="D72" s="10" t="inlineStr">
        <is>
          <t>No hay puertos libres en el access point del salón para conectar el Raspberry.</t>
        </is>
      </c>
      <c r="E72" s="10" t="inlineStr"/>
      <c r="F72" s="10" t="inlineStr">
        <is>
          <t>R48</t>
        </is>
      </c>
    </row>
    <row r="73">
      <c r="A73" s="10" t="inlineStr">
        <is>
          <t>MH-018</t>
        </is>
      </c>
      <c r="B73" s="10" t="n">
        <v>1</v>
      </c>
      <c r="C73" s="10" t="inlineStr">
        <is>
          <t>OBSERVACION</t>
        </is>
      </c>
      <c r="D73" s="10" t="inlineStr">
        <is>
          <t>Router Claro (192.168.0.1), impresora 3nStar en barra y tablet.</t>
        </is>
      </c>
      <c r="E73" s="10" t="inlineStr"/>
      <c r="F73" s="10" t="inlineStr"/>
    </row>
    <row r="74">
      <c r="A74" s="10" t="inlineStr">
        <is>
          <t>MH-019</t>
        </is>
      </c>
      <c r="B74" s="10" t="n">
        <v>1</v>
      </c>
      <c r="C74" s="10" t="inlineStr">
        <is>
          <t>DESARROLLO</t>
        </is>
      </c>
      <c r="D74" s="10" t="inlineStr">
        <is>
          <t>Velocidad de internet de 322.45 Mbps.</t>
        </is>
      </c>
      <c r="E74" s="10" t="inlineStr"/>
      <c r="F74" s="10" t="inlineStr"/>
    </row>
    <row r="75">
      <c r="A75" s="10" t="inlineStr">
        <is>
          <t>MH-019</t>
        </is>
      </c>
      <c r="B75" s="10" t="n">
        <v>2</v>
      </c>
      <c r="C75" s="10" t="inlineStr">
        <is>
          <t>DESARROLLO</t>
        </is>
      </c>
      <c r="D75" s="10" t="inlineStr">
        <is>
          <t>Ventas rápidas en caja: no se consideran las mesas.</t>
        </is>
      </c>
      <c r="E75" s="10" t="inlineStr">
        <is>
          <t>P11</t>
        </is>
      </c>
      <c r="F75" s="10" t="inlineStr"/>
    </row>
    <row r="76">
      <c r="A76" s="10" t="inlineStr">
        <is>
          <t>MH-019</t>
        </is>
      </c>
      <c r="B76" s="10" t="n">
        <v>3</v>
      </c>
      <c r="C76" s="10" t="inlineStr">
        <is>
          <t>OBSERVACION</t>
        </is>
      </c>
      <c r="D76" s="10" t="inlineStr">
        <is>
          <t>El router está a 12 m de la caja: hacen falta canaletas para el cableado.</t>
        </is>
      </c>
      <c r="E76" s="10" t="inlineStr"/>
      <c r="F76" s="10" t="inlineStr">
        <is>
          <t>R06</t>
        </is>
      </c>
    </row>
    <row r="77">
      <c r="A77" s="10" t="inlineStr">
        <is>
          <t>MH-020</t>
        </is>
      </c>
      <c r="B77" s="10" t="n">
        <v>1</v>
      </c>
      <c r="C77" s="10" t="inlineStr">
        <is>
          <t>OBSERVACION</t>
        </is>
      </c>
      <c r="D77" s="10" t="inlineStr">
        <is>
          <t>Cableado de red por reestructurar; no es impedimento de inicio.</t>
        </is>
      </c>
      <c r="E77" s="10" t="inlineStr"/>
      <c r="F77" s="10" t="inlineStr">
        <is>
          <t>R64</t>
        </is>
      </c>
    </row>
    <row r="78">
      <c r="A78" s="10" t="inlineStr">
        <is>
          <t>MH-021</t>
        </is>
      </c>
      <c r="B78" s="10" t="n">
        <v>1</v>
      </c>
      <c r="C78" s="10" t="inlineStr">
        <is>
          <t>OBSERVACION</t>
        </is>
      </c>
      <c r="D78" s="10" t="inlineStr">
        <is>
          <t>Sin puntos de red y aún sin servicio de internet.</t>
        </is>
      </c>
      <c r="E78" s="10" t="inlineStr">
        <is>
          <t>P14</t>
        </is>
      </c>
      <c r="F78" s="10" t="inlineStr">
        <is>
          <t>R06</t>
        </is>
      </c>
    </row>
    <row r="79">
      <c r="A79" s="10" t="inlineStr">
        <is>
          <t>MH-021</t>
        </is>
      </c>
      <c r="B79" s="10" t="n">
        <v>2</v>
      </c>
      <c r="C79" s="10" t="inlineStr">
        <is>
          <t>DESARROLLO</t>
        </is>
      </c>
      <c r="D79" s="10" t="inlineStr">
        <is>
          <t>Aún sin impresoras para barra y cocina.</t>
        </is>
      </c>
      <c r="E79" s="10" t="inlineStr">
        <is>
          <t>P26</t>
        </is>
      </c>
      <c r="F79" s="10" t="inlineStr"/>
    </row>
    <row r="80">
      <c r="A80" s="10" t="inlineStr">
        <is>
          <t>MH-022</t>
        </is>
      </c>
      <c r="B80" s="10" t="n">
        <v>1</v>
      </c>
      <c r="C80" s="10" t="inlineStr">
        <is>
          <t>OBSERVACION</t>
        </is>
      </c>
      <c r="D80" s="10" t="inlineStr">
        <is>
          <t>La laptop no estará permanentemente en el local.</t>
        </is>
      </c>
      <c r="E80" s="10" t="inlineStr">
        <is>
          <t>P22</t>
        </is>
      </c>
      <c r="F80" s="10" t="inlineStr">
        <is>
          <t>R60</t>
        </is>
      </c>
    </row>
    <row r="81">
      <c r="A81" s="10" t="inlineStr">
        <is>
          <t>MH-023</t>
        </is>
      </c>
      <c r="B81" s="10" t="n">
        <v>1</v>
      </c>
      <c r="C81" s="10" t="inlineStr">
        <is>
          <t>DESARROLLO</t>
        </is>
      </c>
      <c r="D81" s="10" t="inlineStr">
        <is>
          <t>Raspberry instalado en caja; impresoras caja, barra, cocina y empaquetados en el mismo segmento.</t>
        </is>
      </c>
      <c r="E81" s="10" t="inlineStr"/>
      <c r="F81" s="10" t="inlineStr"/>
    </row>
    <row r="82">
      <c r="A82" s="10" t="inlineStr">
        <is>
          <t>MH-024</t>
        </is>
      </c>
      <c r="B82" s="10" t="n">
        <v>1</v>
      </c>
      <c r="C82" s="10" t="inlineStr">
        <is>
          <t>OBSERVACION</t>
        </is>
      </c>
      <c r="D82" s="10" t="inlineStr">
        <is>
          <t>El local no cuenta con puntos de red.</t>
        </is>
      </c>
      <c r="E82" s="10" t="inlineStr">
        <is>
          <t>P38</t>
        </is>
      </c>
      <c r="F82" s="10" t="inlineStr">
        <is>
          <t>R06</t>
        </is>
      </c>
    </row>
    <row r="83">
      <c r="A83" s="10" t="inlineStr">
        <is>
          <t>MH-024</t>
        </is>
      </c>
      <c r="B83" s="10" t="n">
        <v>2</v>
      </c>
      <c r="C83" s="10" t="inlineStr">
        <is>
          <t>OBSERVACION</t>
        </is>
      </c>
      <c r="D83" s="10" t="inlineStr">
        <is>
          <t>La cobertura WiFi no llega al 100 % del local.</t>
        </is>
      </c>
      <c r="E83" s="10" t="inlineStr">
        <is>
          <t>P46</t>
        </is>
      </c>
      <c r="F83" s="10" t="inlineStr">
        <is>
          <t>R19</t>
        </is>
      </c>
    </row>
    <row r="84">
      <c r="A84" s="10" t="inlineStr">
        <is>
          <t>MH-024</t>
        </is>
      </c>
      <c r="B84" s="10" t="n">
        <v>3</v>
      </c>
      <c r="C84" s="10" t="inlineStr">
        <is>
          <t>DESARROLLO</t>
        </is>
      </c>
      <c r="D84" s="10" t="inlineStr">
        <is>
          <t>Patio de comidas: se instaló TP-Link con chip Entel.</t>
        </is>
      </c>
      <c r="E84" s="10" t="inlineStr">
        <is>
          <t>P13</t>
        </is>
      </c>
      <c r="F84" s="10" t="inlineStr">
        <is>
          <t>R56</t>
        </is>
      </c>
    </row>
    <row r="85">
      <c r="A85" s="10" t="inlineStr">
        <is>
          <t>MH-025</t>
        </is>
      </c>
      <c r="B85" s="10" t="n">
        <v>1</v>
      </c>
      <c r="C85" s="10" t="inlineStr">
        <is>
          <t>DESARROLLO</t>
        </is>
      </c>
      <c r="D85" s="10" t="inlineStr">
        <is>
          <t>Las impresoras se pasaron al mismo segmento de red con ayuda del cable USB.</t>
        </is>
      </c>
      <c r="E85" s="10" t="inlineStr"/>
      <c r="F85" s="10" t="inlineStr">
        <is>
          <t>R55</t>
        </is>
      </c>
    </row>
    <row r="86">
      <c r="A86" s="10" t="inlineStr">
        <is>
          <t>MH-026</t>
        </is>
      </c>
      <c r="B86" s="10" t="n">
        <v>1</v>
      </c>
      <c r="C86" s="10" t="inlineStr">
        <is>
          <t>ANTECEDENTE</t>
        </is>
      </c>
      <c r="D86" s="10" t="inlineStr">
        <is>
          <t>La impresora de caja se conecta y desconecta: la entrada del cable de red está floja.</t>
        </is>
      </c>
      <c r="E86" s="10" t="inlineStr"/>
      <c r="F86" s="10" t="inlineStr">
        <is>
          <t>R37</t>
        </is>
      </c>
    </row>
    <row r="87">
      <c r="A87" s="10" t="inlineStr">
        <is>
          <t>MH-027</t>
        </is>
      </c>
      <c r="B87" s="10" t="n">
        <v>1</v>
      </c>
      <c r="C87" s="10" t="inlineStr">
        <is>
          <t>OBSERVACION</t>
        </is>
      </c>
      <c r="D87" s="10" t="inlineStr">
        <is>
          <t>Pendiente el punto de red para la pantalla de caja.</t>
        </is>
      </c>
      <c r="E87" s="10" t="inlineStr">
        <is>
          <t>P38</t>
        </is>
      </c>
      <c r="F87" s="10" t="inlineStr">
        <is>
          <t>R06</t>
        </is>
      </c>
    </row>
    <row r="88">
      <c r="A88" s="10" t="inlineStr">
        <is>
          <t>MH-027</t>
        </is>
      </c>
      <c r="B88" s="10" t="n">
        <v>2</v>
      </c>
      <c r="C88" s="10" t="inlineStr">
        <is>
          <t>OBSERVACION</t>
        </is>
      </c>
      <c r="D88" s="10" t="inlineStr">
        <is>
          <t>Pendiente el punto de red para la impresora de cocina.</t>
        </is>
      </c>
      <c r="E88" s="10" t="inlineStr">
        <is>
          <t>P38</t>
        </is>
      </c>
      <c r="F88" s="10" t="inlineStr">
        <is>
          <t>R06</t>
        </is>
      </c>
    </row>
    <row r="89">
      <c r="A89" s="10" t="inlineStr">
        <is>
          <t>MH-028</t>
        </is>
      </c>
      <c r="B89" s="10" t="n">
        <v>1</v>
      </c>
      <c r="C89" s="10" t="inlineStr">
        <is>
          <t>DESARROLLO</t>
        </is>
      </c>
      <c r="D89" s="10" t="inlineStr">
        <is>
          <t>Velocidad de internet de 94.42 Mbps; laptop conectada directo al router.</t>
        </is>
      </c>
      <c r="E89" s="10" t="inlineStr"/>
      <c r="F89" s="10" t="inlineStr"/>
    </row>
    <row r="90">
      <c r="A90" s="10" t="inlineStr">
        <is>
          <t>MH-029</t>
        </is>
      </c>
      <c r="B90" s="10" t="n">
        <v>1</v>
      </c>
      <c r="C90" s="10" t="inlineStr">
        <is>
          <t>OBSERVACION</t>
        </is>
      </c>
      <c r="D90" s="10" t="inlineStr">
        <is>
          <t>El técnico de redes estaba implementando el cableado; quedó pendiente.</t>
        </is>
      </c>
      <c r="E90" s="10" t="inlineStr"/>
      <c r="F90" s="10" t="inlineStr"/>
    </row>
    <row r="91">
      <c r="A91" s="10" t="inlineStr">
        <is>
          <t>MH-030</t>
        </is>
      </c>
      <c r="B91" s="10" t="n">
        <v>1</v>
      </c>
      <c r="C91" s="10" t="inlineStr">
        <is>
          <t>OBSERVACION</t>
        </is>
      </c>
      <c r="D91" s="10" t="inlineStr">
        <is>
          <t>Dos cables de cámaras en el mismo switch que las impresoras.</t>
        </is>
      </c>
      <c r="E91" s="10" t="inlineStr">
        <is>
          <t>P47</t>
        </is>
      </c>
      <c r="F91" s="10" t="inlineStr">
        <is>
          <t>R53</t>
        </is>
      </c>
    </row>
    <row r="92">
      <c r="A92" s="10" t="inlineStr">
        <is>
          <t>MH-030</t>
        </is>
      </c>
      <c r="B92" s="10" t="n">
        <v>2</v>
      </c>
      <c r="C92" s="10" t="inlineStr">
        <is>
          <t>OBSERVACION</t>
        </is>
      </c>
      <c r="D92" s="10" t="inlineStr">
        <is>
          <t>Cables de cámaras sueltos.</t>
        </is>
      </c>
      <c r="E92" s="10" t="inlineStr"/>
      <c r="F92" s="10" t="inlineStr">
        <is>
          <t>R64</t>
        </is>
      </c>
    </row>
    <row r="93">
      <c r="A93" s="10" t="inlineStr">
        <is>
          <t>MH-031</t>
        </is>
      </c>
      <c r="B93" s="10" t="n">
        <v>1</v>
      </c>
      <c r="C93" s="10" t="inlineStr">
        <is>
          <t>OBSERVACION</t>
        </is>
      </c>
      <c r="D93" s="10" t="inlineStr">
        <is>
          <t>Switch principal de 10/100 Mbps.</t>
        </is>
      </c>
      <c r="E93" s="10" t="inlineStr"/>
      <c r="F93" s="10" t="inlineStr">
        <is>
          <t>R58</t>
        </is>
      </c>
    </row>
    <row r="94">
      <c r="A94" s="10" t="inlineStr">
        <is>
          <t>MH-031</t>
        </is>
      </c>
      <c r="B94" s="10" t="n">
        <v>2</v>
      </c>
      <c r="C94" s="10" t="inlineStr">
        <is>
          <t>OBSERVACION</t>
        </is>
      </c>
      <c r="D94" s="10" t="inlineStr">
        <is>
          <t>El WiFi es libre para los clientes.</t>
        </is>
      </c>
      <c r="E94" s="10" t="inlineStr"/>
      <c r="F94" s="10" t="inlineStr">
        <is>
          <t>R32</t>
        </is>
      </c>
    </row>
    <row r="95">
      <c r="A95" s="10" t="inlineStr">
        <is>
          <t>MH-031</t>
        </is>
      </c>
      <c r="B95" s="10" t="n">
        <v>3</v>
      </c>
      <c r="C95" s="10" t="inlineStr">
        <is>
          <t>OBSERVACION</t>
        </is>
      </c>
      <c r="D95" s="10" t="inlineStr">
        <is>
          <t>Impresora de caja USB conectada a la PC.</t>
        </is>
      </c>
      <c r="E95" s="10" t="inlineStr">
        <is>
          <t>P30</t>
        </is>
      </c>
      <c r="F95" s="10" t="inlineStr">
        <is>
          <t>R16</t>
        </is>
      </c>
    </row>
    <row r="96">
      <c r="A96" s="10" t="inlineStr">
        <is>
          <t>MH-032</t>
        </is>
      </c>
      <c r="B96" s="10" t="n">
        <v>1</v>
      </c>
      <c r="C96" s="10" t="inlineStr">
        <is>
          <t>OBSERVACION</t>
        </is>
      </c>
      <c r="D96" s="10" t="inlineStr">
        <is>
          <t>Switch principal de 10/100 Mbps con cámaras, PC de caja e impresoras.</t>
        </is>
      </c>
      <c r="E96" s="10" t="inlineStr"/>
      <c r="F96" s="10" t="inlineStr">
        <is>
          <t>R58</t>
        </is>
      </c>
    </row>
    <row r="97">
      <c r="A97" s="10" t="inlineStr">
        <is>
          <t>MH-032</t>
        </is>
      </c>
      <c r="B97" s="10" t="n">
        <v>2</v>
      </c>
      <c r="C97" s="10" t="inlineStr">
        <is>
          <t>OBSERVACION</t>
        </is>
      </c>
      <c r="D97" s="10" t="inlineStr">
        <is>
          <t>Punto de red de la impresora de frituras por cambiar.</t>
        </is>
      </c>
      <c r="E97" s="10" t="inlineStr"/>
      <c r="F97" s="10" t="inlineStr">
        <is>
          <t>R06</t>
        </is>
      </c>
    </row>
    <row r="98">
      <c r="A98" s="10" t="inlineStr">
        <is>
          <t>MH-032</t>
        </is>
      </c>
      <c r="B98" s="10" t="n">
        <v>3</v>
      </c>
      <c r="C98" s="10" t="inlineStr">
        <is>
          <t>OBSERVACION</t>
        </is>
      </c>
      <c r="D98" s="10" t="inlineStr">
        <is>
          <t>Conector RJ45 de la impresora de makis por cambiar.</t>
        </is>
      </c>
      <c r="E98" s="10" t="inlineStr"/>
      <c r="F98" s="10" t="inlineStr">
        <is>
          <t>R37</t>
        </is>
      </c>
    </row>
    <row r="99">
      <c r="A99" s="10" t="inlineStr">
        <is>
          <t>MH-033</t>
        </is>
      </c>
      <c r="B99" s="10" t="n">
        <v>1</v>
      </c>
      <c r="C99" s="10" t="inlineStr">
        <is>
          <t>OBSERVACION</t>
        </is>
      </c>
      <c r="D99" s="10" t="inlineStr">
        <is>
          <t>El cable de cámaras está junto a un cable de corriente: ruido que llega al router.</t>
        </is>
      </c>
      <c r="E99" s="10" t="inlineStr"/>
      <c r="F99" s="10" t="inlineStr">
        <is>
          <t>R62</t>
        </is>
      </c>
    </row>
    <row r="100">
      <c r="A100" s="10" t="inlineStr">
        <is>
          <t>MH-033</t>
        </is>
      </c>
      <c r="B100" s="10" t="n">
        <v>2</v>
      </c>
      <c r="C100" s="10" t="inlineStr">
        <is>
          <t>OBSERVACION</t>
        </is>
      </c>
      <c r="D100" s="10" t="inlineStr">
        <is>
          <t>El cable pasa bajo un equipo con motor que genera ruido en la señal.</t>
        </is>
      </c>
      <c r="E100" s="10" t="inlineStr"/>
      <c r="F100" s="10" t="inlineStr">
        <is>
          <t>R62</t>
        </is>
      </c>
    </row>
    <row r="101">
      <c r="A101" s="10" t="inlineStr">
        <is>
          <t>MH-033</t>
        </is>
      </c>
      <c r="B101" s="10" t="n">
        <v>3</v>
      </c>
      <c r="C101" s="10" t="inlineStr">
        <is>
          <t>DESARROLLO</t>
        </is>
      </c>
      <c r="D101" s="10" t="inlineStr">
        <is>
          <t>Se reemplazó el cable Cat5e por Cat6a hacia el Raspberry.</t>
        </is>
      </c>
      <c r="E101" s="10" t="inlineStr">
        <is>
          <t>P39</t>
        </is>
      </c>
      <c r="F101" s="10" t="inlineStr">
        <is>
          <t>R09</t>
        </is>
      </c>
    </row>
    <row r="102">
      <c r="A102" s="10" t="inlineStr">
        <is>
          <t>MH-034</t>
        </is>
      </c>
      <c r="B102" s="10" t="n">
        <v>1</v>
      </c>
      <c r="C102" s="10" t="inlineStr">
        <is>
          <t>OBSERVACION</t>
        </is>
      </c>
      <c r="D102" s="10" t="inlineStr">
        <is>
          <t>No hay acceso al cuarto de telecomunicaciones; solo se probó la red WiFi.</t>
        </is>
      </c>
      <c r="E102" s="10" t="inlineStr"/>
      <c r="F102" s="10" t="inlineStr"/>
    </row>
    <row r="103">
      <c r="A103" s="10" t="inlineStr">
        <is>
          <t>MH-034</t>
        </is>
      </c>
      <c r="B103" s="10" t="n">
        <v>2</v>
      </c>
      <c r="C103" s="10" t="inlineStr">
        <is>
          <t>OBSERVACION</t>
        </is>
      </c>
      <c r="D103" s="10" t="inlineStr">
        <is>
          <t>Trabajan desde un celular por WiFi; posible laptop temporal.</t>
        </is>
      </c>
      <c r="E103" s="10" t="inlineStr">
        <is>
          <t>P22</t>
        </is>
      </c>
      <c r="F103" s="10" t="inlineStr">
        <is>
          <t>R60</t>
        </is>
      </c>
    </row>
    <row r="104">
      <c r="A104" s="10" t="inlineStr">
        <is>
          <t>MH-034</t>
        </is>
      </c>
      <c r="B104" s="10" t="n">
        <v>3</v>
      </c>
      <c r="C104" s="10" t="inlineStr">
        <is>
          <t>OBSERVACION</t>
        </is>
      </c>
      <c r="D104" s="10" t="inlineStr">
        <is>
          <t>El cliente no desea adquirir el Raspberry.</t>
        </is>
      </c>
      <c r="E104" s="10" t="inlineStr"/>
      <c r="F104" s="10" t="inlineStr">
        <is>
          <t>R02</t>
        </is>
      </c>
    </row>
    <row r="105">
      <c r="A105" s="10" t="inlineStr">
        <is>
          <t>MH-035</t>
        </is>
      </c>
      <c r="B105" s="10" t="n">
        <v>1</v>
      </c>
      <c r="C105" s="10" t="inlineStr">
        <is>
          <t>OBSERVACION</t>
        </is>
      </c>
      <c r="D105" s="10" t="inlineStr">
        <is>
          <t>Switch principal TP-Link de 10/100 Mbps.</t>
        </is>
      </c>
      <c r="E105" s="10" t="inlineStr"/>
      <c r="F105" s="10" t="inlineStr">
        <is>
          <t>R58</t>
        </is>
      </c>
    </row>
    <row r="106">
      <c r="A106" s="10" t="inlineStr">
        <is>
          <t>MH-036</t>
        </is>
      </c>
      <c r="B106" s="10" t="n">
        <v>1</v>
      </c>
      <c r="C106" s="10" t="inlineStr">
        <is>
          <t>OBSERVACION</t>
        </is>
      </c>
      <c r="D106" s="10" t="inlineStr">
        <is>
          <t>La impresora de caja pierde conexión: cable ponchado con la norma A (cruzado).</t>
        </is>
      </c>
      <c r="E106" s="10" t="inlineStr"/>
      <c r="F106" s="10" t="inlineStr">
        <is>
          <t>R59</t>
        </is>
      </c>
    </row>
    <row r="107">
      <c r="A107" s="10" t="inlineStr">
        <is>
          <t>MH-036</t>
        </is>
      </c>
      <c r="B107" s="10" t="n">
        <v>2</v>
      </c>
      <c r="C107" s="10" t="inlineStr">
        <is>
          <t>OBSERVACION</t>
        </is>
      </c>
      <c r="D107" s="10" t="inlineStr">
        <is>
          <t>Conector RJ45 de la impresora de makis por cambiar.</t>
        </is>
      </c>
      <c r="E107" s="10" t="inlineStr"/>
      <c r="F107" s="10" t="inlineStr">
        <is>
          <t>R37</t>
        </is>
      </c>
    </row>
    <row r="108">
      <c r="A108" s="10" t="inlineStr">
        <is>
          <t>MH-036</t>
        </is>
      </c>
      <c r="B108" s="10" t="n">
        <v>3</v>
      </c>
      <c r="C108" s="10" t="inlineStr">
        <is>
          <t>OBSERVACION</t>
        </is>
      </c>
      <c r="D108" s="10" t="inlineStr">
        <is>
          <t>Switch TP-Link de 8 puertos de 10/100 Mbps.</t>
        </is>
      </c>
      <c r="E108" s="10" t="inlineStr"/>
      <c r="F108" s="10" t="inlineStr">
        <is>
          <t>R58</t>
        </is>
      </c>
    </row>
    <row r="109">
      <c r="A109" s="10" t="inlineStr">
        <is>
          <t>MH-037</t>
        </is>
      </c>
      <c r="B109" s="10" t="n">
        <v>1</v>
      </c>
      <c r="C109" s="10" t="inlineStr">
        <is>
          <t>OBSERVACION</t>
        </is>
      </c>
      <c r="D109" s="10" t="inlineStr">
        <is>
          <t>Cámaras en el mismo switch que la PC de caja y las impresoras.</t>
        </is>
      </c>
      <c r="E109" s="10" t="inlineStr">
        <is>
          <t>P47</t>
        </is>
      </c>
      <c r="F109" s="10" t="inlineStr">
        <is>
          <t>R53</t>
        </is>
      </c>
    </row>
    <row r="110">
      <c r="A110" s="10" t="inlineStr">
        <is>
          <t>MH-037</t>
        </is>
      </c>
      <c r="B110" s="10" t="n">
        <v>2</v>
      </c>
      <c r="C110" s="10" t="inlineStr">
        <is>
          <t>OBSERVACION</t>
        </is>
      </c>
      <c r="D110" s="10" t="inlineStr">
        <is>
          <t>Impresora de caja USB conectada a la PC.</t>
        </is>
      </c>
      <c r="E110" s="10" t="inlineStr">
        <is>
          <t>P30</t>
        </is>
      </c>
      <c r="F110" s="10" t="inlineStr">
        <is>
          <t>R16</t>
        </is>
      </c>
    </row>
    <row r="111">
      <c r="A111" s="10" t="inlineStr">
        <is>
          <t>MH-038</t>
        </is>
      </c>
      <c r="B111" s="10" t="n">
        <v>1</v>
      </c>
      <c r="C111" s="10" t="inlineStr">
        <is>
          <t>OBSERVACION</t>
        </is>
      </c>
      <c r="D111" s="10" t="inlineStr">
        <is>
          <t>Switch principal de 10/100 Mbps con cámaras, PC de caja e impresoras.</t>
        </is>
      </c>
      <c r="E111" s="10" t="inlineStr"/>
      <c r="F111" s="10" t="inlineStr">
        <is>
          <t>R58</t>
        </is>
      </c>
    </row>
    <row r="112">
      <c r="A112" s="10" t="inlineStr">
        <is>
          <t>MH-038</t>
        </is>
      </c>
      <c r="B112" s="10" t="n">
        <v>2</v>
      </c>
      <c r="C112" s="10" t="inlineStr">
        <is>
          <t>OBSERVACION</t>
        </is>
      </c>
      <c r="D112" s="10" t="inlineStr">
        <is>
          <t>Conector RJ45 de la impresora de frituras por cambiar.</t>
        </is>
      </c>
      <c r="E112" s="10" t="inlineStr"/>
      <c r="F112" s="10" t="inlineStr">
        <is>
          <t>R37</t>
        </is>
      </c>
    </row>
    <row r="113">
      <c r="A113" s="10" t="inlineStr">
        <is>
          <t>MH-040</t>
        </is>
      </c>
      <c r="B113" s="10" t="n">
        <v>1</v>
      </c>
      <c r="C113" s="10" t="inlineStr">
        <is>
          <t>OBSERVACION</t>
        </is>
      </c>
      <c r="D113" s="10" t="inlineStr">
        <is>
          <t>La impresora de cocina está deshabilitada: falta el cableado de red.</t>
        </is>
      </c>
      <c r="E113" s="10" t="inlineStr">
        <is>
          <t>P38</t>
        </is>
      </c>
      <c r="F113" s="10" t="inlineStr">
        <is>
          <t>R06</t>
        </is>
      </c>
    </row>
    <row r="114">
      <c r="A114" s="10" t="inlineStr">
        <is>
          <t>MH-041</t>
        </is>
      </c>
      <c r="B114" s="10" t="n">
        <v>1</v>
      </c>
      <c r="C114" s="10" t="inlineStr">
        <is>
          <t>OBSERVACION</t>
        </is>
      </c>
      <c r="D114" s="10" t="inlineStr">
        <is>
          <t>No hay internet, router, switch ni cableado de red.</t>
        </is>
      </c>
      <c r="E114" s="10" t="inlineStr">
        <is>
          <t>P14</t>
        </is>
      </c>
      <c r="F114" s="10" t="inlineStr">
        <is>
          <t>R56</t>
        </is>
      </c>
    </row>
    <row r="115">
      <c r="A115" s="10" t="inlineStr">
        <is>
          <t>MH-041</t>
        </is>
      </c>
      <c r="B115" s="10" t="n">
        <v>2</v>
      </c>
      <c r="C115" s="10" t="inlineStr">
        <is>
          <t>OBSERVACION</t>
        </is>
      </c>
      <c r="D115" s="10" t="inlineStr">
        <is>
          <t>Tomas de energía separadas por ~7 m y ~3,5 m en un patio de ~18 m.</t>
        </is>
      </c>
      <c r="E115" s="10" t="inlineStr">
        <is>
          <t>P33</t>
        </is>
      </c>
      <c r="F115" s="10" t="inlineStr">
        <is>
          <t>R49</t>
        </is>
      </c>
    </row>
    <row r="116">
      <c r="A116" s="10" t="inlineStr">
        <is>
          <t>MH-042</t>
        </is>
      </c>
      <c r="B116" s="10" t="n">
        <v>1</v>
      </c>
      <c r="C116" s="10" t="inlineStr">
        <is>
          <t>OBSERVACION</t>
        </is>
      </c>
      <c r="D116" s="10" t="inlineStr">
        <is>
          <t>El 4.º puerto del router no daba conexión a la impresora.</t>
        </is>
      </c>
      <c r="E116" s="10" t="inlineStr"/>
      <c r="F116" s="10" t="inlineStr">
        <is>
          <t>R61</t>
        </is>
      </c>
    </row>
    <row r="117">
      <c r="A117" s="10" t="inlineStr">
        <is>
          <t>MH-042</t>
        </is>
      </c>
      <c r="B117" s="10" t="n">
        <v>2</v>
      </c>
      <c r="C117" s="10" t="inlineStr">
        <is>
          <t>OBSERVACION</t>
        </is>
      </c>
      <c r="D117" s="10" t="inlineStr">
        <is>
          <t>El gancho del conector RJ45 de la impresora estaba roto.</t>
        </is>
      </c>
      <c r="E117" s="10" t="inlineStr"/>
      <c r="F117" s="10" t="inlineStr">
        <is>
          <t>R37</t>
        </is>
      </c>
    </row>
    <row r="118">
      <c r="A118" s="10" t="inlineStr">
        <is>
          <t>MH-043</t>
        </is>
      </c>
      <c r="B118" s="10" t="n">
        <v>1</v>
      </c>
      <c r="C118" s="10" t="inlineStr">
        <is>
          <t>OBSERVACION</t>
        </is>
      </c>
      <c r="D118" s="10" t="inlineStr">
        <is>
          <t>La impresora de Caja 02 está en 192.168.1.87 y la red de Caja 01 en 192.168.10.x.</t>
        </is>
      </c>
      <c r="E118" s="10" t="inlineStr"/>
      <c r="F118" s="10" t="inlineStr">
        <is>
          <t>R55</t>
        </is>
      </c>
    </row>
    <row r="119">
      <c r="A119" s="10" t="inlineStr">
        <is>
          <t>MH-043</t>
        </is>
      </c>
      <c r="B119" s="10" t="n">
        <v>2</v>
      </c>
      <c r="C119" s="10" t="inlineStr">
        <is>
          <t>OBSERVACION</t>
        </is>
      </c>
      <c r="D119" s="10" t="inlineStr">
        <is>
          <t>La impresora de Caja 01 tiene DHCP activado.</t>
        </is>
      </c>
      <c r="E119" s="10" t="inlineStr"/>
      <c r="F119" s="10" t="inlineStr">
        <is>
          <t>R24</t>
        </is>
      </c>
    </row>
    <row r="120">
      <c r="A120" s="10" t="inlineStr">
        <is>
          <t>MH-043</t>
        </is>
      </c>
      <c r="B120" s="10" t="n">
        <v>3</v>
      </c>
      <c r="C120" s="10" t="inlineStr">
        <is>
          <t>OBSERVACION</t>
        </is>
      </c>
      <c r="D120" s="10" t="inlineStr">
        <is>
          <t>La balanza instalada en Caja 02 no funciona; usan una balanza adicional.</t>
        </is>
      </c>
      <c r="E120" s="10" t="inlineStr">
        <is>
          <t>P22h</t>
        </is>
      </c>
      <c r="F120" s="10" t="inlineStr">
        <is>
          <t>R63</t>
        </is>
      </c>
    </row>
    <row r="121">
      <c r="A121" s="10" t="inlineStr">
        <is>
          <t>MH-044</t>
        </is>
      </c>
      <c r="B121" s="10" t="n">
        <v>1</v>
      </c>
      <c r="C121" s="10" t="inlineStr">
        <is>
          <t>OBSERVACION</t>
        </is>
      </c>
      <c r="D121" s="10" t="inlineStr">
        <is>
          <t>La impresora de barra estaba desconectada por supuesta avería; las pruebas salieron bien.</t>
        </is>
      </c>
      <c r="E121" s="10" t="inlineStr"/>
      <c r="F121" s="10" t="inlineStr"/>
    </row>
    <row r="122">
      <c r="A122" s="10" t="inlineStr">
        <is>
          <t>MH-004</t>
        </is>
      </c>
      <c r="B122" s="10" t="n">
        <v>7</v>
      </c>
      <c r="C122" s="10" t="inlineStr">
        <is>
          <t>OBSERVACION</t>
        </is>
      </c>
      <c r="D122" s="10" t="inlineStr">
        <is>
          <t>Speedtest de 91.5 Mbps: posible tope de 100 Mbps por switch 10/100, puerto o cable (deducido 2026-10-11; plan contratado sin dato).</t>
        </is>
      </c>
      <c r="E122" s="10" t="inlineStr"/>
      <c r="F122" s="10" t="inlineStr">
        <is>
          <t>R65</t>
        </is>
      </c>
    </row>
    <row r="123">
      <c r="A123" s="10" t="inlineStr">
        <is>
          <t>MH-005</t>
        </is>
      </c>
      <c r="B123" s="10" t="n">
        <v>8</v>
      </c>
      <c r="C123" s="10" t="inlineStr">
        <is>
          <t>OBSERVACION</t>
        </is>
      </c>
      <c r="D123" s="10" t="inlineStr">
        <is>
          <t>Speedtest de 94.01 Mbps: posible tope de 100 Mbps por switch 10/100, puerto o cable (deducido 2026-10-11; plan contratado sin dato).</t>
        </is>
      </c>
      <c r="E123" s="10" t="inlineStr"/>
      <c r="F123" s="10" t="inlineStr">
        <is>
          <t>R65</t>
        </is>
      </c>
    </row>
    <row r="124">
      <c r="A124" s="10" t="inlineStr">
        <is>
          <t>MH-006</t>
        </is>
      </c>
      <c r="B124" s="10" t="n">
        <v>6</v>
      </c>
      <c r="C124" s="10" t="inlineStr">
        <is>
          <t>OBSERVACION</t>
        </is>
      </c>
      <c r="D124" s="10" t="inlineStr">
        <is>
          <t>Speedtest de 93.37 Mbps: posible tope de 100 Mbps por switch 10/100, puerto o cable (deducido 2026-10-11; plan contratado sin dato).</t>
        </is>
      </c>
      <c r="E124" s="10" t="inlineStr"/>
      <c r="F124" s="10" t="inlineStr">
        <is>
          <t>R65</t>
        </is>
      </c>
    </row>
    <row r="125">
      <c r="A125" s="10" t="inlineStr">
        <is>
          <t>MH-010</t>
        </is>
      </c>
      <c r="B125" s="10" t="n">
        <v>2</v>
      </c>
      <c r="C125" s="10" t="inlineStr">
        <is>
          <t>OBSERVACION</t>
        </is>
      </c>
      <c r="D125" s="10" t="inlineStr">
        <is>
          <t>Speedtest de 93.17 Mbps: posible tope de 100 Mbps por switch 10/100, puerto o cable (deducido 2026-10-11; plan contratado sin dato).</t>
        </is>
      </c>
      <c r="E125" s="10" t="inlineStr"/>
      <c r="F125" s="10" t="inlineStr">
        <is>
          <t>R65</t>
        </is>
      </c>
    </row>
    <row r="126">
      <c r="A126" s="10" t="inlineStr">
        <is>
          <t>MH-012</t>
        </is>
      </c>
      <c r="B126" s="10" t="n">
        <v>3</v>
      </c>
      <c r="C126" s="10" t="inlineStr">
        <is>
          <t>OBSERVACION</t>
        </is>
      </c>
      <c r="D126" s="10" t="inlineStr">
        <is>
          <t>Speedtest de 88.94 Mbps: posible tope de 100 Mbps por switch 10/100, puerto o cable (deducido 2026-10-11; plan contratado sin dato).</t>
        </is>
      </c>
      <c r="E126" s="10" t="inlineStr"/>
      <c r="F126" s="10" t="inlineStr">
        <is>
          <t>R65</t>
        </is>
      </c>
    </row>
    <row r="127">
      <c r="A127" s="10" t="inlineStr">
        <is>
          <t>MH-013</t>
        </is>
      </c>
      <c r="B127" s="10" t="n">
        <v>3</v>
      </c>
      <c r="C127" s="10" t="inlineStr">
        <is>
          <t>OBSERVACION</t>
        </is>
      </c>
      <c r="D127" s="10" t="inlineStr">
        <is>
          <t>Speedtest de 93.91 Mbps: posible tope de 100 Mbps por switch 10/100, puerto o cable (deducido 2026-10-11; plan contratado sin dato).</t>
        </is>
      </c>
      <c r="E127" s="10" t="inlineStr"/>
      <c r="F127" s="10" t="inlineStr">
        <is>
          <t>R65</t>
        </is>
      </c>
    </row>
    <row r="128">
      <c r="A128" s="10" t="inlineStr">
        <is>
          <t>MH-017</t>
        </is>
      </c>
      <c r="B128" s="10" t="n">
        <v>4</v>
      </c>
      <c r="C128" s="10" t="inlineStr">
        <is>
          <t>OBSERVACION</t>
        </is>
      </c>
      <c r="D128" s="10" t="inlineStr">
        <is>
          <t>Speedtest de 89.44 Mbps: posible tope de 100 Mbps por switch 10/100, puerto o cable (deducido 2026-10-11; plan contratado sin dato).</t>
        </is>
      </c>
      <c r="E128" s="10" t="inlineStr"/>
      <c r="F128" s="10" t="inlineStr">
        <is>
          <t>R65</t>
        </is>
      </c>
    </row>
    <row r="129">
      <c r="A129" s="10" t="inlineStr">
        <is>
          <t>MH-028</t>
        </is>
      </c>
      <c r="B129" s="10" t="n">
        <v>2</v>
      </c>
      <c r="C129" s="10" t="inlineStr">
        <is>
          <t>OBSERVACION</t>
        </is>
      </c>
      <c r="D129" s="10" t="inlineStr">
        <is>
          <t>Speedtest de 94.42 Mbps: posible tope de 100 Mbps por switch 10/100, puerto o cable (deducido 2026-10-11; plan contratado sin dato).</t>
        </is>
      </c>
      <c r="E129" s="10" t="inlineStr"/>
      <c r="F129" s="10" t="inlineStr">
        <is>
          <t>R65</t>
        </is>
      </c>
    </row>
    <row r="130">
      <c r="A130" s="13" t="n"/>
      <c r="B130" s="13" t="n"/>
      <c r="C130" s="13" t="n"/>
      <c r="D130" s="13" t="n"/>
      <c r="E130" s="13" t="n"/>
      <c r="F130" s="13" t="n"/>
    </row>
    <row r="131">
      <c r="A131" s="13" t="n"/>
      <c r="B131" s="13" t="n"/>
      <c r="C131" s="13" t="n"/>
      <c r="D131" s="13" t="n"/>
      <c r="E131" s="13" t="n"/>
      <c r="F131" s="13" t="n"/>
    </row>
    <row r="132">
      <c r="A132" s="13" t="n"/>
      <c r="B132" s="13" t="n"/>
      <c r="C132" s="13" t="n"/>
      <c r="D132" s="13" t="n"/>
      <c r="E132" s="13" t="n"/>
      <c r="F132" s="13" t="n"/>
    </row>
    <row r="133">
      <c r="A133" s="13" t="n"/>
      <c r="B133" s="13" t="n"/>
      <c r="C133" s="13" t="n"/>
      <c r="D133" s="13" t="n"/>
      <c r="E133" s="13" t="n"/>
      <c r="F133" s="13" t="n"/>
    </row>
    <row r="134">
      <c r="A134" s="13" t="n"/>
      <c r="B134" s="13" t="n"/>
      <c r="C134" s="13" t="n"/>
      <c r="D134" s="13" t="n"/>
      <c r="E134" s="13" t="n"/>
      <c r="F134" s="13" t="n"/>
    </row>
    <row r="135">
      <c r="A135" s="13" t="n"/>
      <c r="B135" s="13" t="n"/>
      <c r="C135" s="13" t="n"/>
      <c r="D135" s="13" t="n"/>
      <c r="E135" s="13" t="n"/>
      <c r="F135" s="13" t="n"/>
    </row>
    <row r="136">
      <c r="A136" s="13" t="n"/>
      <c r="B136" s="13" t="n"/>
      <c r="C136" s="13" t="n"/>
      <c r="D136" s="13" t="n"/>
      <c r="E136" s="13" t="n"/>
      <c r="F136" s="13" t="n"/>
    </row>
    <row r="137">
      <c r="A137" s="13" t="n"/>
      <c r="B137" s="13" t="n"/>
      <c r="C137" s="13" t="n"/>
      <c r="D137" s="13" t="n"/>
      <c r="E137" s="13" t="n"/>
      <c r="F137" s="13" t="n"/>
    </row>
    <row r="138">
      <c r="A138" s="13" t="n"/>
      <c r="B138" s="13" t="n"/>
      <c r="C138" s="13" t="n"/>
      <c r="D138" s="13" t="n"/>
      <c r="E138" s="13" t="n"/>
      <c r="F138" s="13" t="n"/>
    </row>
    <row r="139">
      <c r="A139" s="13" t="n"/>
      <c r="B139" s="13" t="n"/>
      <c r="C139" s="13" t="n"/>
      <c r="D139" s="13" t="n"/>
      <c r="E139" s="13" t="n"/>
      <c r="F139" s="13" t="n"/>
    </row>
    <row r="140">
      <c r="A140" s="13" t="n"/>
      <c r="B140" s="13" t="n"/>
      <c r="C140" s="13" t="n"/>
      <c r="D140" s="13" t="n"/>
      <c r="E140" s="13" t="n"/>
      <c r="F140" s="13" t="n"/>
    </row>
    <row r="141">
      <c r="A141" s="13" t="n"/>
      <c r="B141" s="13" t="n"/>
      <c r="C141" s="13" t="n"/>
      <c r="D141" s="13" t="n"/>
      <c r="E141" s="13" t="n"/>
      <c r="F141" s="13" t="n"/>
    </row>
    <row r="142">
      <c r="A142" s="13" t="n"/>
      <c r="B142" s="13" t="n"/>
      <c r="C142" s="13" t="n"/>
      <c r="D142" s="13" t="n"/>
      <c r="E142" s="13" t="n"/>
      <c r="F142" s="13" t="n"/>
    </row>
    <row r="143">
      <c r="A143" s="13" t="n"/>
      <c r="B143" s="13" t="n"/>
      <c r="C143" s="13" t="n"/>
      <c r="D143" s="13" t="n"/>
      <c r="E143" s="13" t="n"/>
      <c r="F143" s="13" t="n"/>
    </row>
    <row r="144">
      <c r="A144" s="13" t="n"/>
      <c r="B144" s="13" t="n"/>
      <c r="C144" s="13" t="n"/>
      <c r="D144" s="13" t="n"/>
      <c r="E144" s="13" t="n"/>
      <c r="F144" s="13" t="n"/>
    </row>
    <row r="145">
      <c r="A145" s="13" t="n"/>
      <c r="B145" s="13" t="n"/>
      <c r="C145" s="13" t="n"/>
      <c r="D145" s="13" t="n"/>
      <c r="E145" s="13" t="n"/>
      <c r="F145" s="13" t="n"/>
    </row>
    <row r="146">
      <c r="A146" s="13" t="n"/>
      <c r="B146" s="13" t="n"/>
      <c r="C146" s="13" t="n"/>
      <c r="D146" s="13" t="n"/>
      <c r="E146" s="13" t="n"/>
      <c r="F146" s="13" t="n"/>
    </row>
    <row r="147">
      <c r="A147" s="13" t="n"/>
      <c r="B147" s="13" t="n"/>
      <c r="C147" s="13" t="n"/>
      <c r="D147" s="13" t="n"/>
      <c r="E147" s="13" t="n"/>
      <c r="F147" s="13" t="n"/>
    </row>
    <row r="148">
      <c r="A148" s="13" t="n"/>
      <c r="B148" s="13" t="n"/>
      <c r="C148" s="13" t="n"/>
      <c r="D148" s="13" t="n"/>
      <c r="E148" s="13" t="n"/>
      <c r="F148" s="13" t="n"/>
    </row>
    <row r="149">
      <c r="A149" s="13" t="n"/>
      <c r="B149" s="13" t="n"/>
      <c r="C149" s="13" t="n"/>
      <c r="D149" s="13" t="n"/>
      <c r="E149" s="13" t="n"/>
      <c r="F149" s="13" t="n"/>
    </row>
    <row r="150">
      <c r="A150" s="13" t="n"/>
      <c r="B150" s="13" t="n"/>
      <c r="C150" s="13" t="n"/>
      <c r="D150" s="13" t="n"/>
      <c r="E150" s="13" t="n"/>
      <c r="F150" s="13" t="n"/>
    </row>
    <row r="151">
      <c r="A151" s="13" t="n"/>
      <c r="B151" s="13" t="n"/>
      <c r="C151" s="13" t="n"/>
      <c r="D151" s="13" t="n"/>
      <c r="E151" s="13" t="n"/>
      <c r="F151" s="13" t="n"/>
    </row>
    <row r="152">
      <c r="A152" s="13" t="n"/>
      <c r="B152" s="13" t="n"/>
      <c r="C152" s="13" t="n"/>
      <c r="D152" s="13" t="n"/>
      <c r="E152" s="13" t="n"/>
      <c r="F152" s="13" t="n"/>
    </row>
    <row r="153">
      <c r="A153" s="13" t="n"/>
      <c r="B153" s="13" t="n"/>
      <c r="C153" s="13" t="n"/>
      <c r="D153" s="13" t="n"/>
      <c r="E153" s="13" t="n"/>
      <c r="F153" s="13" t="n"/>
    </row>
    <row r="154">
      <c r="A154" s="13" t="n"/>
      <c r="B154" s="13" t="n"/>
      <c r="C154" s="13" t="n"/>
      <c r="D154" s="13" t="n"/>
      <c r="E154" s="13" t="n"/>
      <c r="F154" s="13" t="n"/>
    </row>
    <row r="155">
      <c r="A155" s="13" t="n"/>
      <c r="B155" s="13" t="n"/>
      <c r="C155" s="13" t="n"/>
      <c r="D155" s="13" t="n"/>
      <c r="E155" s="13" t="n"/>
      <c r="F155" s="13" t="n"/>
    </row>
    <row r="156">
      <c r="A156" s="13" t="n"/>
      <c r="B156" s="13" t="n"/>
      <c r="C156" s="13" t="n"/>
      <c r="D156" s="13" t="n"/>
      <c r="E156" s="13" t="n"/>
      <c r="F156" s="13" t="n"/>
    </row>
    <row r="157">
      <c r="A157" s="13" t="n"/>
      <c r="B157" s="13" t="n"/>
      <c r="C157" s="13" t="n"/>
      <c r="D157" s="13" t="n"/>
      <c r="E157" s="13" t="n"/>
      <c r="F157" s="13" t="n"/>
    </row>
    <row r="158">
      <c r="A158" s="13" t="n"/>
      <c r="B158" s="13" t="n"/>
      <c r="C158" s="13" t="n"/>
      <c r="D158" s="13" t="n"/>
      <c r="E158" s="13" t="n"/>
      <c r="F158" s="13" t="n"/>
    </row>
    <row r="159">
      <c r="A159" s="13" t="n"/>
      <c r="B159" s="13" t="n"/>
      <c r="C159" s="13" t="n"/>
      <c r="D159" s="13" t="n"/>
      <c r="E159" s="13" t="n"/>
      <c r="F159" s="13" t="n"/>
    </row>
    <row r="160">
      <c r="A160" s="13" t="n"/>
      <c r="B160" s="13" t="n"/>
      <c r="C160" s="13" t="n"/>
      <c r="D160" s="13" t="n"/>
      <c r="E160" s="13" t="n"/>
      <c r="F160" s="13" t="n"/>
    </row>
    <row r="161">
      <c r="A161" s="13" t="n"/>
      <c r="B161" s="13" t="n"/>
      <c r="C161" s="13" t="n"/>
      <c r="D161" s="13" t="n"/>
      <c r="E161" s="13" t="n"/>
      <c r="F161" s="13" t="n"/>
    </row>
    <row r="162">
      <c r="A162" s="13" t="n"/>
      <c r="B162" s="13" t="n"/>
      <c r="C162" s="13" t="n"/>
      <c r="D162" s="13" t="n"/>
      <c r="E162" s="13" t="n"/>
      <c r="F162" s="13" t="n"/>
    </row>
    <row r="163">
      <c r="A163" s="13" t="n"/>
      <c r="B163" s="13" t="n"/>
      <c r="C163" s="13" t="n"/>
      <c r="D163" s="13" t="n"/>
      <c r="E163" s="13" t="n"/>
      <c r="F163" s="13" t="n"/>
    </row>
    <row r="164">
      <c r="A164" s="13" t="n"/>
      <c r="B164" s="13" t="n"/>
      <c r="C164" s="13" t="n"/>
      <c r="D164" s="13" t="n"/>
      <c r="E164" s="13" t="n"/>
      <c r="F164" s="13" t="n"/>
    </row>
    <row r="165">
      <c r="A165" s="13" t="n"/>
      <c r="B165" s="13" t="n"/>
      <c r="C165" s="13" t="n"/>
      <c r="D165" s="13" t="n"/>
      <c r="E165" s="13" t="n"/>
      <c r="F165" s="13" t="n"/>
    </row>
    <row r="166">
      <c r="A166" s="13" t="n"/>
      <c r="B166" s="13" t="n"/>
      <c r="C166" s="13" t="n"/>
      <c r="D166" s="13" t="n"/>
      <c r="E166" s="13" t="n"/>
      <c r="F166" s="13" t="n"/>
    </row>
    <row r="167">
      <c r="A167" s="13" t="n"/>
      <c r="B167" s="13" t="n"/>
      <c r="C167" s="13" t="n"/>
      <c r="D167" s="13" t="n"/>
      <c r="E167" s="13" t="n"/>
      <c r="F167" s="13" t="n"/>
    </row>
    <row r="168">
      <c r="A168" s="13" t="n"/>
      <c r="B168" s="13" t="n"/>
      <c r="C168" s="13" t="n"/>
      <c r="D168" s="13" t="n"/>
      <c r="E168" s="13" t="n"/>
      <c r="F168" s="13" t="n"/>
    </row>
    <row r="169">
      <c r="A169" s="13" t="n"/>
      <c r="B169" s="13" t="n"/>
      <c r="C169" s="13" t="n"/>
      <c r="D169" s="13" t="n"/>
      <c r="E169" s="13" t="n"/>
      <c r="F169" s="13" t="n"/>
    </row>
    <row r="170">
      <c r="A170" s="13" t="n"/>
      <c r="B170" s="13" t="n"/>
      <c r="C170" s="13" t="n"/>
      <c r="D170" s="13" t="n"/>
      <c r="E170" s="13" t="n"/>
      <c r="F170" s="13" t="n"/>
    </row>
    <row r="171">
      <c r="A171" s="13" t="n"/>
      <c r="B171" s="13" t="n"/>
      <c r="C171" s="13" t="n"/>
      <c r="D171" s="13" t="n"/>
      <c r="E171" s="13" t="n"/>
      <c r="F171" s="13" t="n"/>
    </row>
    <row r="172">
      <c r="A172" s="13" t="n"/>
      <c r="B172" s="13" t="n"/>
      <c r="C172" s="13" t="n"/>
      <c r="D172" s="13" t="n"/>
      <c r="E172" s="13" t="n"/>
      <c r="F172" s="13" t="n"/>
    </row>
    <row r="173">
      <c r="A173" s="13" t="n"/>
      <c r="B173" s="13" t="n"/>
      <c r="C173" s="13" t="n"/>
      <c r="D173" s="13" t="n"/>
      <c r="E173" s="13" t="n"/>
      <c r="F173" s="13" t="n"/>
    </row>
    <row r="174">
      <c r="A174" s="13" t="n"/>
      <c r="B174" s="13" t="n"/>
      <c r="C174" s="13" t="n"/>
      <c r="D174" s="13" t="n"/>
      <c r="E174" s="13" t="n"/>
      <c r="F174" s="13" t="n"/>
    </row>
    <row r="175">
      <c r="A175" s="13" t="n"/>
      <c r="B175" s="13" t="n"/>
      <c r="C175" s="13" t="n"/>
      <c r="D175" s="13" t="n"/>
      <c r="E175" s="13" t="n"/>
      <c r="F175" s="13" t="n"/>
    </row>
    <row r="176">
      <c r="A176" s="13" t="n"/>
      <c r="B176" s="13" t="n"/>
      <c r="C176" s="13" t="n"/>
      <c r="D176" s="13" t="n"/>
      <c r="E176" s="13" t="n"/>
      <c r="F176" s="13" t="n"/>
    </row>
    <row r="177">
      <c r="A177" s="13" t="n"/>
      <c r="B177" s="13" t="n"/>
      <c r="C177" s="13" t="n"/>
      <c r="D177" s="13" t="n"/>
      <c r="E177" s="13" t="n"/>
      <c r="F177" s="13" t="n"/>
    </row>
    <row r="178">
      <c r="A178" s="13" t="n"/>
      <c r="B178" s="13" t="n"/>
      <c r="C178" s="13" t="n"/>
      <c r="D178" s="13" t="n"/>
      <c r="E178" s="13" t="n"/>
      <c r="F178" s="13" t="n"/>
    </row>
    <row r="179">
      <c r="A179" s="13" t="n"/>
      <c r="B179" s="13" t="n"/>
      <c r="C179" s="13" t="n"/>
      <c r="D179" s="13" t="n"/>
      <c r="E179" s="13" t="n"/>
      <c r="F179" s="13" t="n"/>
    </row>
    <row r="180">
      <c r="A180" s="13" t="n"/>
      <c r="B180" s="13" t="n"/>
      <c r="C180" s="13" t="n"/>
      <c r="D180" s="13" t="n"/>
      <c r="E180" s="13" t="n"/>
      <c r="F180" s="13" t="n"/>
    </row>
    <row r="181">
      <c r="A181" s="13" t="n"/>
      <c r="B181" s="13" t="n"/>
      <c r="C181" s="13" t="n"/>
      <c r="D181" s="13" t="n"/>
      <c r="E181" s="13" t="n"/>
      <c r="F181" s="13" t="n"/>
    </row>
    <row r="182">
      <c r="A182" s="13" t="n"/>
      <c r="B182" s="13" t="n"/>
      <c r="C182" s="13" t="n"/>
      <c r="D182" s="13" t="n"/>
      <c r="E182" s="13" t="n"/>
      <c r="F182" s="13" t="n"/>
    </row>
    <row r="183">
      <c r="A183" s="13" t="n"/>
      <c r="B183" s="13" t="n"/>
      <c r="C183" s="13" t="n"/>
      <c r="D183" s="13" t="n"/>
      <c r="E183" s="13" t="n"/>
      <c r="F183" s="13" t="n"/>
    </row>
    <row r="184">
      <c r="A184" s="13" t="n"/>
      <c r="B184" s="13" t="n"/>
      <c r="C184" s="13" t="n"/>
      <c r="D184" s="13" t="n"/>
      <c r="E184" s="13" t="n"/>
      <c r="F184" s="13" t="n"/>
    </row>
    <row r="185">
      <c r="A185" s="13" t="n"/>
      <c r="B185" s="13" t="n"/>
      <c r="C185" s="13" t="n"/>
      <c r="D185" s="13" t="n"/>
      <c r="E185" s="13" t="n"/>
      <c r="F185" s="13" t="n"/>
    </row>
    <row r="186">
      <c r="A186" s="13" t="n"/>
      <c r="B186" s="13" t="n"/>
      <c r="C186" s="13" t="n"/>
      <c r="D186" s="13" t="n"/>
      <c r="E186" s="13" t="n"/>
      <c r="F186" s="13" t="n"/>
    </row>
    <row r="187">
      <c r="A187" s="13" t="n"/>
      <c r="B187" s="13" t="n"/>
      <c r="C187" s="13" t="n"/>
      <c r="D187" s="13" t="n"/>
      <c r="E187" s="13" t="n"/>
      <c r="F187" s="13" t="n"/>
    </row>
    <row r="188">
      <c r="A188" s="13" t="n"/>
      <c r="B188" s="13" t="n"/>
      <c r="C188" s="13" t="n"/>
      <c r="D188" s="13" t="n"/>
      <c r="E188" s="13" t="n"/>
      <c r="F188" s="13" t="n"/>
    </row>
    <row r="189">
      <c r="A189" s="13" t="n"/>
      <c r="B189" s="13" t="n"/>
      <c r="C189" s="13" t="n"/>
      <c r="D189" s="13" t="n"/>
      <c r="E189" s="13" t="n"/>
      <c r="F189" s="13" t="n"/>
    </row>
    <row r="190">
      <c r="A190" s="13" t="n"/>
      <c r="B190" s="13" t="n"/>
      <c r="C190" s="13" t="n"/>
      <c r="D190" s="13" t="n"/>
      <c r="E190" s="13" t="n"/>
      <c r="F190" s="13" t="n"/>
    </row>
    <row r="191">
      <c r="A191" s="13" t="n"/>
      <c r="B191" s="13" t="n"/>
      <c r="C191" s="13" t="n"/>
      <c r="D191" s="13" t="n"/>
      <c r="E191" s="13" t="n"/>
      <c r="F191" s="13" t="n"/>
    </row>
    <row r="192">
      <c r="A192" s="13" t="n"/>
      <c r="B192" s="13" t="n"/>
      <c r="C192" s="13" t="n"/>
      <c r="D192" s="13" t="n"/>
      <c r="E192" s="13" t="n"/>
      <c r="F192" s="13" t="n"/>
    </row>
    <row r="193">
      <c r="A193" s="13" t="n"/>
      <c r="B193" s="13" t="n"/>
      <c r="C193" s="13" t="n"/>
      <c r="D193" s="13" t="n"/>
      <c r="E193" s="13" t="n"/>
      <c r="F193" s="13" t="n"/>
    </row>
    <row r="194">
      <c r="A194" s="13" t="n"/>
      <c r="B194" s="13" t="n"/>
      <c r="C194" s="13" t="n"/>
      <c r="D194" s="13" t="n"/>
      <c r="E194" s="13" t="n"/>
      <c r="F194" s="13" t="n"/>
    </row>
    <row r="195">
      <c r="A195" s="13" t="n"/>
      <c r="B195" s="13" t="n"/>
      <c r="C195" s="13" t="n"/>
      <c r="D195" s="13" t="n"/>
      <c r="E195" s="13" t="n"/>
      <c r="F195" s="13" t="n"/>
    </row>
    <row r="196">
      <c r="A196" s="13" t="n"/>
      <c r="B196" s="13" t="n"/>
      <c r="C196" s="13" t="n"/>
      <c r="D196" s="13" t="n"/>
      <c r="E196" s="13" t="n"/>
      <c r="F196" s="13" t="n"/>
    </row>
    <row r="197">
      <c r="A197" s="13" t="n"/>
      <c r="B197" s="13" t="n"/>
      <c r="C197" s="13" t="n"/>
      <c r="D197" s="13" t="n"/>
      <c r="E197" s="13" t="n"/>
      <c r="F197" s="13" t="n"/>
    </row>
    <row r="198">
      <c r="A198" s="13" t="n"/>
      <c r="B198" s="13" t="n"/>
      <c r="C198" s="13" t="n"/>
      <c r="D198" s="13" t="n"/>
      <c r="E198" s="13" t="n"/>
      <c r="F198" s="13" t="n"/>
    </row>
    <row r="199">
      <c r="A199" s="13" t="n"/>
      <c r="B199" s="13" t="n"/>
      <c r="C199" s="13" t="n"/>
      <c r="D199" s="13" t="n"/>
      <c r="E199" s="13" t="n"/>
      <c r="F199" s="13" t="n"/>
    </row>
    <row r="200">
      <c r="A200" s="13" t="n"/>
      <c r="B200" s="13" t="n"/>
      <c r="C200" s="13" t="n"/>
      <c r="D200" s="13" t="n"/>
      <c r="E200" s="13" t="n"/>
      <c r="F200" s="13" t="n"/>
    </row>
    <row r="201">
      <c r="A201" s="13" t="n"/>
      <c r="B201" s="13" t="n"/>
      <c r="C201" s="13" t="n"/>
      <c r="D201" s="13" t="n"/>
      <c r="E201" s="13" t="n"/>
      <c r="F201" s="13" t="n"/>
    </row>
    <row r="202">
      <c r="A202" s="13" t="n"/>
      <c r="B202" s="13" t="n"/>
      <c r="C202" s="13" t="n"/>
      <c r="D202" s="13" t="n"/>
      <c r="E202" s="13" t="n"/>
      <c r="F202" s="13" t="n"/>
    </row>
    <row r="203">
      <c r="A203" s="13" t="n"/>
      <c r="B203" s="13" t="n"/>
      <c r="C203" s="13" t="n"/>
      <c r="D203" s="13" t="n"/>
      <c r="E203" s="13" t="n"/>
      <c r="F203" s="13" t="n"/>
    </row>
    <row r="204">
      <c r="A204" s="13" t="n"/>
      <c r="B204" s="13" t="n"/>
      <c r="C204" s="13" t="n"/>
      <c r="D204" s="13" t="n"/>
      <c r="E204" s="13" t="n"/>
      <c r="F204" s="13" t="n"/>
    </row>
    <row r="205">
      <c r="A205" s="13" t="n"/>
      <c r="B205" s="13" t="n"/>
      <c r="C205" s="13" t="n"/>
      <c r="D205" s="13" t="n"/>
      <c r="E205" s="13" t="n"/>
      <c r="F205" s="13" t="n"/>
    </row>
    <row r="206">
      <c r="A206" s="13" t="n"/>
      <c r="B206" s="13" t="n"/>
      <c r="C206" s="13" t="n"/>
      <c r="D206" s="13" t="n"/>
      <c r="E206" s="13" t="n"/>
      <c r="F206" s="13" t="n"/>
    </row>
    <row r="207">
      <c r="A207" s="13" t="n"/>
      <c r="B207" s="13" t="n"/>
      <c r="C207" s="13" t="n"/>
      <c r="D207" s="13" t="n"/>
      <c r="E207" s="13" t="n"/>
      <c r="F207" s="13" t="n"/>
    </row>
    <row r="208">
      <c r="A208" s="13" t="n"/>
      <c r="B208" s="13" t="n"/>
      <c r="C208" s="13" t="n"/>
      <c r="D208" s="13" t="n"/>
      <c r="E208" s="13" t="n"/>
      <c r="F208" s="13" t="n"/>
    </row>
    <row r="209">
      <c r="A209" s="13" t="n"/>
      <c r="B209" s="13" t="n"/>
      <c r="C209" s="13" t="n"/>
      <c r="D209" s="13" t="n"/>
      <c r="E209" s="13" t="n"/>
      <c r="F209" s="13" t="n"/>
    </row>
    <row r="210">
      <c r="A210" s="13" t="n"/>
      <c r="B210" s="13" t="n"/>
      <c r="C210" s="13" t="n"/>
      <c r="D210" s="13" t="n"/>
      <c r="E210" s="13" t="n"/>
      <c r="F210" s="13" t="n"/>
    </row>
    <row r="211">
      <c r="A211" s="13" t="n"/>
      <c r="B211" s="13" t="n"/>
      <c r="C211" s="13" t="n"/>
      <c r="D211" s="13" t="n"/>
      <c r="E211" s="13" t="n"/>
      <c r="F211" s="13" t="n"/>
    </row>
    <row r="212">
      <c r="A212" s="13" t="n"/>
      <c r="B212" s="13" t="n"/>
      <c r="C212" s="13" t="n"/>
      <c r="D212" s="13" t="n"/>
      <c r="E212" s="13" t="n"/>
      <c r="F212" s="13" t="n"/>
    </row>
    <row r="213">
      <c r="A213" s="13" t="n"/>
      <c r="B213" s="13" t="n"/>
      <c r="C213" s="13" t="n"/>
      <c r="D213" s="13" t="n"/>
      <c r="E213" s="13" t="n"/>
      <c r="F213" s="13" t="n"/>
    </row>
    <row r="214">
      <c r="A214" s="13" t="n"/>
      <c r="B214" s="13" t="n"/>
      <c r="C214" s="13" t="n"/>
      <c r="D214" s="13" t="n"/>
      <c r="E214" s="13" t="n"/>
      <c r="F214" s="13" t="n"/>
    </row>
    <row r="215">
      <c r="A215" s="13" t="n"/>
      <c r="B215" s="13" t="n"/>
      <c r="C215" s="13" t="n"/>
      <c r="D215" s="13" t="n"/>
      <c r="E215" s="13" t="n"/>
      <c r="F215" s="13" t="n"/>
    </row>
    <row r="216">
      <c r="A216" s="13" t="n"/>
      <c r="B216" s="13" t="n"/>
      <c r="C216" s="13" t="n"/>
      <c r="D216" s="13" t="n"/>
      <c r="E216" s="13" t="n"/>
      <c r="F216" s="13" t="n"/>
    </row>
    <row r="217">
      <c r="A217" s="13" t="n"/>
      <c r="B217" s="13" t="n"/>
      <c r="C217" s="13" t="n"/>
      <c r="D217" s="13" t="n"/>
      <c r="E217" s="13" t="n"/>
      <c r="F217" s="13" t="n"/>
    </row>
    <row r="218">
      <c r="A218" s="13" t="n"/>
      <c r="B218" s="13" t="n"/>
      <c r="C218" s="13" t="n"/>
      <c r="D218" s="13" t="n"/>
      <c r="E218" s="13" t="n"/>
      <c r="F218" s="13" t="n"/>
    </row>
    <row r="219">
      <c r="A219" s="13" t="n"/>
      <c r="B219" s="13" t="n"/>
      <c r="C219" s="13" t="n"/>
      <c r="D219" s="13" t="n"/>
      <c r="E219" s="13" t="n"/>
      <c r="F219" s="13" t="n"/>
    </row>
    <row r="220">
      <c r="A220" s="13" t="n"/>
      <c r="B220" s="13" t="n"/>
      <c r="C220" s="13" t="n"/>
      <c r="D220" s="13" t="n"/>
      <c r="E220" s="13" t="n"/>
      <c r="F220" s="13" t="n"/>
    </row>
    <row r="221">
      <c r="A221" s="13" t="n"/>
      <c r="B221" s="13" t="n"/>
      <c r="C221" s="13" t="n"/>
      <c r="D221" s="13" t="n"/>
      <c r="E221" s="13" t="n"/>
      <c r="F221" s="13" t="n"/>
    </row>
    <row r="222">
      <c r="A222" s="13" t="n"/>
      <c r="B222" s="13" t="n"/>
      <c r="C222" s="13" t="n"/>
      <c r="D222" s="13" t="n"/>
      <c r="E222" s="13" t="n"/>
      <c r="F222" s="13" t="n"/>
    </row>
    <row r="223">
      <c r="A223" s="13" t="n"/>
      <c r="B223" s="13" t="n"/>
      <c r="C223" s="13" t="n"/>
      <c r="D223" s="13" t="n"/>
      <c r="E223" s="13" t="n"/>
      <c r="F223" s="13" t="n"/>
    </row>
    <row r="224">
      <c r="A224" s="13" t="n"/>
      <c r="B224" s="13" t="n"/>
      <c r="C224" s="13" t="n"/>
      <c r="D224" s="13" t="n"/>
      <c r="E224" s="13" t="n"/>
      <c r="F224" s="13" t="n"/>
    </row>
    <row r="225">
      <c r="A225" s="13" t="n"/>
      <c r="B225" s="13" t="n"/>
      <c r="C225" s="13" t="n"/>
      <c r="D225" s="13" t="n"/>
      <c r="E225" s="13" t="n"/>
      <c r="F225" s="13" t="n"/>
    </row>
    <row r="226">
      <c r="A226" s="13" t="n"/>
      <c r="B226" s="13" t="n"/>
      <c r="C226" s="13" t="n"/>
      <c r="D226" s="13" t="n"/>
      <c r="E226" s="13" t="n"/>
      <c r="F226" s="13" t="n"/>
    </row>
    <row r="227">
      <c r="A227" s="13" t="n"/>
      <c r="B227" s="13" t="n"/>
      <c r="C227" s="13" t="n"/>
      <c r="D227" s="13" t="n"/>
      <c r="E227" s="13" t="n"/>
      <c r="F227" s="13" t="n"/>
    </row>
    <row r="228">
      <c r="A228" s="13" t="n"/>
      <c r="B228" s="13" t="n"/>
      <c r="C228" s="13" t="n"/>
      <c r="D228" s="13" t="n"/>
      <c r="E228" s="13" t="n"/>
      <c r="F228" s="13" t="n"/>
    </row>
    <row r="229">
      <c r="A229" s="13" t="n"/>
      <c r="B229" s="13" t="n"/>
      <c r="C229" s="13" t="n"/>
      <c r="D229" s="13" t="n"/>
      <c r="E229" s="13" t="n"/>
      <c r="F229" s="13" t="n"/>
    </row>
    <row r="230">
      <c r="A230" s="13" t="n"/>
      <c r="B230" s="13" t="n"/>
      <c r="C230" s="13" t="n"/>
      <c r="D230" s="13" t="n"/>
      <c r="E230" s="13" t="n"/>
      <c r="F230" s="13" t="n"/>
    </row>
    <row r="231">
      <c r="A231" s="13" t="n"/>
      <c r="B231" s="13" t="n"/>
      <c r="C231" s="13" t="n"/>
      <c r="D231" s="13" t="n"/>
      <c r="E231" s="13" t="n"/>
      <c r="F231" s="13" t="n"/>
    </row>
    <row r="232">
      <c r="A232" s="13" t="n"/>
      <c r="B232" s="13" t="n"/>
      <c r="C232" s="13" t="n"/>
      <c r="D232" s="13" t="n"/>
      <c r="E232" s="13" t="n"/>
      <c r="F232" s="13" t="n"/>
    </row>
    <row r="233">
      <c r="A233" s="13" t="n"/>
      <c r="B233" s="13" t="n"/>
      <c r="C233" s="13" t="n"/>
      <c r="D233" s="13" t="n"/>
      <c r="E233" s="13" t="n"/>
      <c r="F233" s="13" t="n"/>
    </row>
    <row r="234">
      <c r="A234" s="13" t="n"/>
      <c r="B234" s="13" t="n"/>
      <c r="C234" s="13" t="n"/>
      <c r="D234" s="13" t="n"/>
      <c r="E234" s="13" t="n"/>
      <c r="F234" s="13" t="n"/>
    </row>
    <row r="235">
      <c r="A235" s="13" t="n"/>
      <c r="B235" s="13" t="n"/>
      <c r="C235" s="13" t="n"/>
      <c r="D235" s="13" t="n"/>
      <c r="E235" s="13" t="n"/>
      <c r="F235" s="13" t="n"/>
    </row>
    <row r="236">
      <c r="A236" s="13" t="n"/>
      <c r="B236" s="13" t="n"/>
      <c r="C236" s="13" t="n"/>
      <c r="D236" s="13" t="n"/>
      <c r="E236" s="13" t="n"/>
      <c r="F236" s="13" t="n"/>
    </row>
    <row r="237">
      <c r="A237" s="13" t="n"/>
      <c r="B237" s="13" t="n"/>
      <c r="C237" s="13" t="n"/>
      <c r="D237" s="13" t="n"/>
      <c r="E237" s="13" t="n"/>
      <c r="F237" s="13" t="n"/>
    </row>
    <row r="238">
      <c r="A238" s="13" t="n"/>
      <c r="B238" s="13" t="n"/>
      <c r="C238" s="13" t="n"/>
      <c r="D238" s="13" t="n"/>
      <c r="E238" s="13" t="n"/>
      <c r="F238" s="13" t="n"/>
    </row>
    <row r="239">
      <c r="A239" s="13" t="n"/>
      <c r="B239" s="13" t="n"/>
      <c r="C239" s="13" t="n"/>
      <c r="D239" s="13" t="n"/>
      <c r="E239" s="13" t="n"/>
      <c r="F239" s="13" t="n"/>
    </row>
    <row r="240">
      <c r="A240" s="13" t="n"/>
      <c r="B240" s="13" t="n"/>
      <c r="C240" s="13" t="n"/>
      <c r="D240" s="13" t="n"/>
      <c r="E240" s="13" t="n"/>
      <c r="F240" s="13" t="n"/>
    </row>
    <row r="241">
      <c r="A241" s="13" t="n"/>
      <c r="B241" s="13" t="n"/>
      <c r="C241" s="13" t="n"/>
      <c r="D241" s="13" t="n"/>
      <c r="E241" s="13" t="n"/>
      <c r="F241" s="13" t="n"/>
    </row>
    <row r="242">
      <c r="A242" s="13" t="n"/>
      <c r="B242" s="13" t="n"/>
      <c r="C242" s="13" t="n"/>
      <c r="D242" s="13" t="n"/>
      <c r="E242" s="13" t="n"/>
      <c r="F242" s="13" t="n"/>
    </row>
    <row r="243">
      <c r="A243" s="13" t="n"/>
      <c r="B243" s="13" t="n"/>
      <c r="C243" s="13" t="n"/>
      <c r="D243" s="13" t="n"/>
      <c r="E243" s="13" t="n"/>
      <c r="F243" s="13" t="n"/>
    </row>
    <row r="244">
      <c r="A244" s="13" t="n"/>
      <c r="B244" s="13" t="n"/>
      <c r="C244" s="13" t="n"/>
      <c r="D244" s="13" t="n"/>
      <c r="E244" s="13" t="n"/>
      <c r="F244" s="13" t="n"/>
    </row>
    <row r="245">
      <c r="A245" s="13" t="n"/>
      <c r="B245" s="13" t="n"/>
      <c r="C245" s="13" t="n"/>
      <c r="D245" s="13" t="n"/>
      <c r="E245" s="13" t="n"/>
      <c r="F245" s="13" t="n"/>
    </row>
    <row r="246">
      <c r="A246" s="13" t="n"/>
      <c r="B246" s="13" t="n"/>
      <c r="C246" s="13" t="n"/>
      <c r="D246" s="13" t="n"/>
      <c r="E246" s="13" t="n"/>
      <c r="F246" s="13" t="n"/>
    </row>
    <row r="247">
      <c r="A247" s="13" t="n"/>
      <c r="B247" s="13" t="n"/>
      <c r="C247" s="13" t="n"/>
      <c r="D247" s="13" t="n"/>
      <c r="E247" s="13" t="n"/>
      <c r="F247" s="13" t="n"/>
    </row>
    <row r="248">
      <c r="A248" s="13" t="n"/>
      <c r="B248" s="13" t="n"/>
      <c r="C248" s="13" t="n"/>
      <c r="D248" s="13" t="n"/>
      <c r="E248" s="13" t="n"/>
      <c r="F248" s="13" t="n"/>
    </row>
    <row r="249">
      <c r="A249" s="13" t="n"/>
      <c r="B249" s="13" t="n"/>
      <c r="C249" s="13" t="n"/>
      <c r="D249" s="13" t="n"/>
      <c r="E249" s="13" t="n"/>
      <c r="F249" s="13" t="n"/>
    </row>
    <row r="250">
      <c r="A250" s="13" t="n"/>
      <c r="B250" s="13" t="n"/>
      <c r="C250" s="13" t="n"/>
      <c r="D250" s="13" t="n"/>
      <c r="E250" s="13" t="n"/>
      <c r="F250" s="13" t="n"/>
    </row>
    <row r="251">
      <c r="A251" s="13" t="n"/>
      <c r="B251" s="13" t="n"/>
      <c r="C251" s="13" t="n"/>
      <c r="D251" s="13" t="n"/>
      <c r="E251" s="13" t="n"/>
      <c r="F251" s="13" t="n"/>
    </row>
    <row r="252">
      <c r="A252" s="13" t="n"/>
      <c r="B252" s="13" t="n"/>
      <c r="C252" s="13" t="n"/>
      <c r="D252" s="13" t="n"/>
      <c r="E252" s="13" t="n"/>
      <c r="F252" s="13" t="n"/>
    </row>
    <row r="253">
      <c r="A253" s="13" t="n"/>
      <c r="B253" s="13" t="n"/>
      <c r="C253" s="13" t="n"/>
      <c r="D253" s="13" t="n"/>
      <c r="E253" s="13" t="n"/>
      <c r="F253" s="13" t="n"/>
    </row>
    <row r="254">
      <c r="A254" s="13" t="n"/>
      <c r="B254" s="13" t="n"/>
      <c r="C254" s="13" t="n"/>
      <c r="D254" s="13" t="n"/>
      <c r="E254" s="13" t="n"/>
      <c r="F254" s="13" t="n"/>
    </row>
    <row r="255">
      <c r="A255" s="13" t="n"/>
      <c r="B255" s="13" t="n"/>
      <c r="C255" s="13" t="n"/>
      <c r="D255" s="13" t="n"/>
      <c r="E255" s="13" t="n"/>
      <c r="F255" s="13" t="n"/>
    </row>
    <row r="256">
      <c r="A256" s="13" t="n"/>
      <c r="B256" s="13" t="n"/>
      <c r="C256" s="13" t="n"/>
      <c r="D256" s="13" t="n"/>
      <c r="E256" s="13" t="n"/>
      <c r="F256" s="13" t="n"/>
    </row>
    <row r="257">
      <c r="A257" s="13" t="n"/>
      <c r="B257" s="13" t="n"/>
      <c r="C257" s="13" t="n"/>
      <c r="D257" s="13" t="n"/>
      <c r="E257" s="13" t="n"/>
      <c r="F257" s="13" t="n"/>
    </row>
    <row r="258">
      <c r="A258" s="13" t="n"/>
      <c r="B258" s="13" t="n"/>
      <c r="C258" s="13" t="n"/>
      <c r="D258" s="13" t="n"/>
      <c r="E258" s="13" t="n"/>
      <c r="F258" s="13" t="n"/>
    </row>
    <row r="259">
      <c r="A259" s="13" t="n"/>
      <c r="B259" s="13" t="n"/>
      <c r="C259" s="13" t="n"/>
      <c r="D259" s="13" t="n"/>
      <c r="E259" s="13" t="n"/>
      <c r="F259" s="13" t="n"/>
    </row>
    <row r="260">
      <c r="A260" s="13" t="n"/>
      <c r="B260" s="13" t="n"/>
      <c r="C260" s="13" t="n"/>
      <c r="D260" s="13" t="n"/>
      <c r="E260" s="13" t="n"/>
      <c r="F260" s="13" t="n"/>
    </row>
    <row r="261">
      <c r="A261" s="13" t="n"/>
      <c r="B261" s="13" t="n"/>
      <c r="C261" s="13" t="n"/>
      <c r="D261" s="13" t="n"/>
      <c r="E261" s="13" t="n"/>
      <c r="F261" s="13" t="n"/>
    </row>
    <row r="262">
      <c r="A262" s="13" t="n"/>
      <c r="B262" s="13" t="n"/>
      <c r="C262" s="13" t="n"/>
      <c r="D262" s="13" t="n"/>
      <c r="E262" s="13" t="n"/>
      <c r="F262" s="13" t="n"/>
    </row>
    <row r="263">
      <c r="A263" s="13" t="n"/>
      <c r="B263" s="13" t="n"/>
      <c r="C263" s="13" t="n"/>
      <c r="D263" s="13" t="n"/>
      <c r="E263" s="13" t="n"/>
      <c r="F263" s="13" t="n"/>
    </row>
    <row r="264">
      <c r="A264" s="13" t="n"/>
      <c r="B264" s="13" t="n"/>
      <c r="C264" s="13" t="n"/>
      <c r="D264" s="13" t="n"/>
      <c r="E264" s="13" t="n"/>
      <c r="F264" s="13" t="n"/>
    </row>
    <row r="265">
      <c r="A265" s="13" t="n"/>
      <c r="B265" s="13" t="n"/>
      <c r="C265" s="13" t="n"/>
      <c r="D265" s="13" t="n"/>
      <c r="E265" s="13" t="n"/>
      <c r="F265" s="13" t="n"/>
    </row>
    <row r="266">
      <c r="A266" s="13" t="n"/>
      <c r="B266" s="13" t="n"/>
      <c r="C266" s="13" t="n"/>
      <c r="D266" s="13" t="n"/>
      <c r="E266" s="13" t="n"/>
      <c r="F266" s="13" t="n"/>
    </row>
    <row r="267">
      <c r="A267" s="13" t="n"/>
      <c r="B267" s="13" t="n"/>
      <c r="C267" s="13" t="n"/>
      <c r="D267" s="13" t="n"/>
      <c r="E267" s="13" t="n"/>
      <c r="F267" s="13" t="n"/>
    </row>
    <row r="268">
      <c r="A268" s="13" t="n"/>
      <c r="B268" s="13" t="n"/>
      <c r="C268" s="13" t="n"/>
      <c r="D268" s="13" t="n"/>
      <c r="E268" s="13" t="n"/>
      <c r="F268" s="13" t="n"/>
    </row>
    <row r="269">
      <c r="A269" s="13" t="n"/>
      <c r="B269" s="13" t="n"/>
      <c r="C269" s="13" t="n"/>
      <c r="D269" s="13" t="n"/>
      <c r="E269" s="13" t="n"/>
      <c r="F269" s="13" t="n"/>
    </row>
    <row r="270">
      <c r="A270" s="13" t="n"/>
      <c r="B270" s="13" t="n"/>
      <c r="C270" s="13" t="n"/>
      <c r="D270" s="13" t="n"/>
      <c r="E270" s="13" t="n"/>
      <c r="F270" s="13" t="n"/>
    </row>
    <row r="271">
      <c r="A271" s="13" t="n"/>
      <c r="B271" s="13" t="n"/>
      <c r="C271" s="13" t="n"/>
      <c r="D271" s="13" t="n"/>
      <c r="E271" s="13" t="n"/>
      <c r="F271" s="13" t="n"/>
    </row>
    <row r="272">
      <c r="A272" s="13" t="n"/>
      <c r="B272" s="13" t="n"/>
      <c r="C272" s="13" t="n"/>
      <c r="D272" s="13" t="n"/>
      <c r="E272" s="13" t="n"/>
      <c r="F272" s="13" t="n"/>
    </row>
    <row r="273">
      <c r="A273" s="13" t="n"/>
      <c r="B273" s="13" t="n"/>
      <c r="C273" s="13" t="n"/>
      <c r="D273" s="13" t="n"/>
      <c r="E273" s="13" t="n"/>
      <c r="F273" s="13" t="n"/>
    </row>
    <row r="274">
      <c r="A274" s="13" t="n"/>
      <c r="B274" s="13" t="n"/>
      <c r="C274" s="13" t="n"/>
      <c r="D274" s="13" t="n"/>
      <c r="E274" s="13" t="n"/>
      <c r="F274" s="13" t="n"/>
    </row>
    <row r="275">
      <c r="A275" s="13" t="n"/>
      <c r="B275" s="13" t="n"/>
      <c r="C275" s="13" t="n"/>
      <c r="D275" s="13" t="n"/>
      <c r="E275" s="13" t="n"/>
      <c r="F275" s="13" t="n"/>
    </row>
    <row r="276">
      <c r="A276" s="13" t="n"/>
      <c r="B276" s="13" t="n"/>
      <c r="C276" s="13" t="n"/>
      <c r="D276" s="13" t="n"/>
      <c r="E276" s="13" t="n"/>
      <c r="F276" s="13" t="n"/>
    </row>
    <row r="277">
      <c r="A277" s="13" t="n"/>
      <c r="B277" s="13" t="n"/>
      <c r="C277" s="13" t="n"/>
      <c r="D277" s="13" t="n"/>
      <c r="E277" s="13" t="n"/>
      <c r="F277" s="13" t="n"/>
    </row>
    <row r="278">
      <c r="A278" s="13" t="n"/>
      <c r="B278" s="13" t="n"/>
      <c r="C278" s="13" t="n"/>
      <c r="D278" s="13" t="n"/>
      <c r="E278" s="13" t="n"/>
      <c r="F278" s="13" t="n"/>
    </row>
    <row r="279">
      <c r="A279" s="13" t="n"/>
      <c r="B279" s="13" t="n"/>
      <c r="C279" s="13" t="n"/>
      <c r="D279" s="13" t="n"/>
      <c r="E279" s="13" t="n"/>
      <c r="F279" s="13" t="n"/>
    </row>
  </sheetData>
  <dataValidations count="4">
    <dataValidation sqref="A2:A2000" showDropDown="0" showInputMessage="0" showErrorMessage="1" allowBlank="1" errorTitle="Valor no válido" error="Elige un valor de la lista (hoja catalogos)." type="list">
      <formula1>kb_minuta!$A$2:$A$2000</formula1>
    </dataValidation>
    <dataValidation sqref="C2:C2000" showDropDown="0" showInputMessage="0" showErrorMessage="1" allowBlank="1" errorTitle="Valor no válido" error="Elige un valor de la lista (hoja catalogos)." type="list">
      <formula1>catalogos!$H$2:$H$4</formula1>
    </dataValidation>
    <dataValidation sqref="E2:E2000" showDropDown="0" showInputMessage="0" showErrorMessage="1" allowBlank="1" errorTitle="Valor no válido" error="Elige un valor de la lista (hoja catalogos)." type="list">
      <formula1>ref_preguntas!$A$2:$A$200</formula1>
    </dataValidation>
    <dataValidation sqref="F2:F2000" showDropDown="0" showInputMessage="0" showErrorMessage="1" allowBlank="1" errorTitle="Valor no válido" error="Elige un valor de la lista (hoja catalogos)." type="list">
      <formula1>kb_regla_recomendacion!$A$2:$A$200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34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7" customWidth="1" min="2" max="2"/>
    <col width="17" customWidth="1" min="3" max="3"/>
    <col width="9" customWidth="1" min="4" max="4"/>
    <col width="80" customWidth="1" min="5" max="5"/>
    <col width="60" customWidth="1" min="6" max="6"/>
  </cols>
  <sheetData>
    <row r="1" ht="34" customHeight="1">
      <c r="A1" s="9" t="inlineStr">
        <is>
          <t>minuta_id</t>
        </is>
      </c>
      <c r="B1" s="9" t="inlineStr">
        <is>
          <t>orden</t>
        </is>
      </c>
      <c r="C1" s="9" t="inlineStr">
        <is>
          <t>tipo</t>
        </is>
      </c>
      <c r="D1" s="9" t="inlineStr">
        <is>
          <t>regla_id</t>
        </is>
      </c>
      <c r="E1" s="9" t="inlineStr">
        <is>
          <t>texto_original</t>
        </is>
      </c>
      <c r="F1" s="9" t="inlineStr">
        <is>
          <t>texto_regla</t>
        </is>
      </c>
    </row>
    <row r="2">
      <c r="A2" s="10" t="inlineStr">
        <is>
          <t>MH-001</t>
        </is>
      </c>
      <c r="B2" s="10" t="n">
        <v>1</v>
      </c>
      <c r="C2" s="10" t="inlineStr">
        <is>
          <t>RECOMENDACION</t>
        </is>
      </c>
      <c r="D2" s="10" t="inlineStr">
        <is>
          <t>R56</t>
        </is>
      </c>
      <c r="E2" s="10" t="inlineStr">
        <is>
          <t>Ante caídas de la red principal es opcional tener un TP-Link 4G con chip para mantener la conexión de internet para las impresoras.</t>
        </is>
      </c>
      <c r="F2" s="12">
        <f>IF(D2="","",IFERROR(INDEX(kb_regla_recomendacion!$G$2:$G$200,MATCH(D2,kb_regla_recomendacion!$A$2:$A$200,0)),"Regla no existe"))</f>
        <v/>
      </c>
    </row>
    <row r="3">
      <c r="A3" s="10" t="inlineStr">
        <is>
          <t>MH-001</t>
        </is>
      </c>
      <c r="B3" s="10" t="n">
        <v>2</v>
      </c>
      <c r="C3" s="10" t="inlineStr">
        <is>
          <t>RECOMENDACION</t>
        </is>
      </c>
      <c r="D3" s="10" t="inlineStr">
        <is>
          <t>R02</t>
        </is>
      </c>
      <c r="E3" s="10" t="inlineStr">
        <is>
          <t>Es imprescindible contar con un kit Raspberry como parte de la virtualización de conexión a las impresoras e impresión.</t>
        </is>
      </c>
      <c r="F3" s="12">
        <f>IF(D3="","",IFERROR(INDEX(kb_regla_recomendacion!$G$2:$G$200,MATCH(D3,kb_regla_recomendacion!$A$2:$A$200,0)),"Regla no existe"))</f>
        <v/>
      </c>
    </row>
    <row r="4">
      <c r="A4" s="10" t="inlineStr">
        <is>
          <t>MH-001</t>
        </is>
      </c>
      <c r="B4" s="10" t="n">
        <v>3</v>
      </c>
      <c r="C4" s="10" t="inlineStr">
        <is>
          <t>RECOMENDACION</t>
        </is>
      </c>
      <c r="D4" s="10" t="inlineStr">
        <is>
          <t>R03</t>
        </is>
      </c>
      <c r="E4" s="10" t="inlineStr">
        <is>
          <t>Contar con un punto más de energía cerca del gabinete de cámaras u otro supresor de picos para la extensión de energía del Raspberry.</t>
        </is>
      </c>
      <c r="F4" s="12">
        <f>IF(D4="","",IFERROR(INDEX(kb_regla_recomendacion!$G$2:$G$200,MATCH(D4,kb_regla_recomendacion!$A$2:$A$200,0)),"Regla no existe"))</f>
        <v/>
      </c>
    </row>
    <row r="5">
      <c r="A5" s="10" t="inlineStr">
        <is>
          <t>MH-001</t>
        </is>
      </c>
      <c r="B5" s="10" t="n">
        <v>4</v>
      </c>
      <c r="C5" s="10" t="inlineStr">
        <is>
          <t>RECOMENDACION</t>
        </is>
      </c>
      <c r="D5" s="10" t="inlineStr">
        <is>
          <t>R05</t>
        </is>
      </c>
      <c r="E5" s="10" t="inlineStr">
        <is>
          <t>Un switch de 4 a 5 puertos para ampliar el punto de red en terraza.</t>
        </is>
      </c>
      <c r="F5" s="12">
        <f>IF(D5="","",IFERROR(INDEX(kb_regla_recomendacion!$G$2:$G$200,MATCH(D5,kb_regla_recomendacion!$A$2:$A$200,0)),"Regla no existe"))</f>
        <v/>
      </c>
    </row>
    <row r="6">
      <c r="A6" s="10" t="inlineStr">
        <is>
          <t>MH-001</t>
        </is>
      </c>
      <c r="B6" s="10" t="n">
        <v>5</v>
      </c>
      <c r="C6" s="10" t="inlineStr">
        <is>
          <t>RECOMENDACION</t>
        </is>
      </c>
      <c r="D6" s="10" t="inlineStr">
        <is>
          <t>R06</t>
        </is>
      </c>
      <c r="E6" s="10" t="inlineStr">
        <is>
          <t>Para la impresora de cocina contar con un punto de red más cerca.</t>
        </is>
      </c>
      <c r="F6" s="12">
        <f>IF(D6="","",IFERROR(INDEX(kb_regla_recomendacion!$G$2:$G$200,MATCH(D6,kb_regla_recomendacion!$A$2:$A$200,0)),"Regla no existe"))</f>
        <v/>
      </c>
    </row>
    <row r="7">
      <c r="A7" s="10" t="inlineStr">
        <is>
          <t>MH-001</t>
        </is>
      </c>
      <c r="B7" s="10" t="n">
        <v>6</v>
      </c>
      <c r="C7" s="10" t="inlineStr">
        <is>
          <t>ACCION_ID</t>
        </is>
      </c>
      <c r="D7" s="10" t="inlineStr">
        <is>
          <t>R26</t>
        </is>
      </c>
      <c r="E7" s="10" t="inlineStr">
        <is>
          <t>Realizar una segunda visita técnica para la conexión de impresoras.</t>
        </is>
      </c>
      <c r="F7" s="12">
        <f>IF(D7="","",IFERROR(INDEX(kb_regla_recomendacion!$G$2:$G$200,MATCH(D7,kb_regla_recomendacion!$A$2:$A$200,0)),"Regla no existe"))</f>
        <v/>
      </c>
    </row>
    <row r="8">
      <c r="A8" s="10" t="inlineStr">
        <is>
          <t>MH-001</t>
        </is>
      </c>
      <c r="B8" s="10" t="n">
        <v>7</v>
      </c>
      <c r="C8" s="10" t="inlineStr">
        <is>
          <t>ACCION_CLIENTE</t>
        </is>
      </c>
      <c r="D8" s="10" t="inlineStr">
        <is>
          <t>A02</t>
        </is>
      </c>
      <c r="E8" s="10" t="inlineStr">
        <is>
          <t>Confirmar recepción de la minuta de visita técnica.</t>
        </is>
      </c>
      <c r="F8" s="12">
        <f>IF(D8="","",IFERROR(INDEX(kb_regla_recomendacion!$G$2:$G$200,MATCH(D8,kb_regla_recomendacion!$A$2:$A$200,0)),"Regla no existe"))</f>
        <v/>
      </c>
    </row>
    <row r="9">
      <c r="A9" s="10" t="inlineStr">
        <is>
          <t>MH-001</t>
        </is>
      </c>
      <c r="B9" s="10" t="n">
        <v>8</v>
      </c>
      <c r="C9" s="10" t="inlineStr">
        <is>
          <t>ACCION_CLIENTE</t>
        </is>
      </c>
      <c r="D9" s="10" t="inlineStr">
        <is>
          <t>R06</t>
        </is>
      </c>
      <c r="E9" s="10" t="inlineStr">
        <is>
          <t>Tener el punto de red de la cocina cerca de su instalación para la siguiente visita.</t>
        </is>
      </c>
      <c r="F9" s="12">
        <f>IF(D9="","",IFERROR(INDEX(kb_regla_recomendacion!$G$2:$G$200,MATCH(D9,kb_regla_recomendacion!$A$2:$A$200,0)),"Regla no existe"))</f>
        <v/>
      </c>
    </row>
    <row r="10">
      <c r="A10" s="10" t="inlineStr">
        <is>
          <t>MH-001</t>
        </is>
      </c>
      <c r="B10" s="10" t="n">
        <v>9</v>
      </c>
      <c r="C10" s="10" t="inlineStr">
        <is>
          <t>ACCION_CLIENTE</t>
        </is>
      </c>
      <c r="D10" s="10" t="inlineStr">
        <is>
          <t>A07</t>
        </is>
      </c>
      <c r="E10" s="10" t="inlineStr">
        <is>
          <t>Llenado de la información del Excel brindado.</t>
        </is>
      </c>
      <c r="F10" s="12">
        <f>IF(D10="","",IFERROR(INDEX(kb_regla_recomendacion!$G$2:$G$200,MATCH(D10,kb_regla_recomendacion!$A$2:$A$200,0)),"Regla no existe"))</f>
        <v/>
      </c>
    </row>
    <row r="11">
      <c r="A11" s="10" t="inlineStr">
        <is>
          <t>MH-002</t>
        </is>
      </c>
      <c r="B11" s="10" t="n">
        <v>1</v>
      </c>
      <c r="C11" s="10" t="inlineStr">
        <is>
          <t>RECOMENDACION</t>
        </is>
      </c>
      <c r="D11" s="10" t="inlineStr">
        <is>
          <t>R03</t>
        </is>
      </c>
      <c r="E11" s="10" t="inlineStr">
        <is>
          <t>La toma de energía para los equipos en red debe ser independiente para evitar desconexiones al conectar la licuadora.</t>
        </is>
      </c>
      <c r="F11" s="12">
        <f>IF(D11="","",IFERROR(INDEX(kb_regla_recomendacion!$G$2:$G$200,MATCH(D11,kb_regla_recomendacion!$A$2:$A$200,0)),"Regla no existe"))</f>
        <v/>
      </c>
    </row>
    <row r="12">
      <c r="A12" s="10" t="inlineStr">
        <is>
          <t>MH-002</t>
        </is>
      </c>
      <c r="B12" s="10" t="n">
        <v>2</v>
      </c>
      <c r="C12" s="10" t="inlineStr">
        <is>
          <t>RECOMENDACION</t>
        </is>
      </c>
      <c r="D12" s="10" t="inlineStr">
        <is>
          <t>R07</t>
        </is>
      </c>
      <c r="E12" s="10" t="inlineStr">
        <is>
          <t>Adquirir un gabinete Nacional de pared de 4 RU (24 alto x 36 ancho x 35 prof.), colocarlo a 1.65 m del piso y contar con otro supresor de picos solo para los equipos del gabinete.</t>
        </is>
      </c>
      <c r="F12" s="12">
        <f>IF(D12="","",IFERROR(INDEX(kb_regla_recomendacion!$G$2:$G$200,MATCH(D12,kb_regla_recomendacion!$A$2:$A$200,0)),"Regla no existe"))</f>
        <v/>
      </c>
    </row>
    <row r="13">
      <c r="A13" s="10" t="inlineStr">
        <is>
          <t>MH-002</t>
        </is>
      </c>
      <c r="B13" s="10" t="n">
        <v>3</v>
      </c>
      <c r="C13" s="10" t="inlineStr">
        <is>
          <t>RECOMENDACION</t>
        </is>
      </c>
      <c r="D13" s="10" t="inlineStr">
        <is>
          <t>R56</t>
        </is>
      </c>
      <c r="E13" s="10" t="inlineStr">
        <is>
          <t>Contar con un chip solo para uso del TP-Link.</t>
        </is>
      </c>
      <c r="F13" s="12">
        <f>IF(D13="","",IFERROR(INDEX(kb_regla_recomendacion!$G$2:$G$200,MATCH(D13,kb_regla_recomendacion!$A$2:$A$200,0)),"Regla no existe"))</f>
        <v/>
      </c>
    </row>
    <row r="14">
      <c r="A14" s="10" t="inlineStr">
        <is>
          <t>MH-002</t>
        </is>
      </c>
      <c r="B14" s="10" t="n">
        <v>4</v>
      </c>
      <c r="C14" s="10" t="inlineStr">
        <is>
          <t>ACCION_ID</t>
        </is>
      </c>
      <c r="D14" s="10" t="inlineStr">
        <is>
          <t>A01</t>
        </is>
      </c>
      <c r="E14" s="10" t="inlineStr">
        <is>
          <t>Compartir la minuta de visita técnica.</t>
        </is>
      </c>
      <c r="F14" s="12">
        <f>IF(D14="","",IFERROR(INDEX(kb_regla_recomendacion!$G$2:$G$200,MATCH(D14,kb_regla_recomendacion!$A$2:$A$200,0)),"Regla no existe"))</f>
        <v/>
      </c>
    </row>
    <row r="15">
      <c r="A15" s="10" t="inlineStr">
        <is>
          <t>MH-002</t>
        </is>
      </c>
      <c r="B15" s="10" t="n">
        <v>5</v>
      </c>
      <c r="C15" s="10" t="inlineStr">
        <is>
          <t>ACCION_CLIENTE</t>
        </is>
      </c>
      <c r="D15" s="10" t="inlineStr">
        <is>
          <t>A02</t>
        </is>
      </c>
      <c r="E15" s="10" t="inlineStr">
        <is>
          <t>Confirmar recepción de la minuta de visita técnica.</t>
        </is>
      </c>
      <c r="F15" s="12">
        <f>IF(D15="","",IFERROR(INDEX(kb_regla_recomendacion!$G$2:$G$200,MATCH(D15,kb_regla_recomendacion!$A$2:$A$200,0)),"Regla no existe"))</f>
        <v/>
      </c>
    </row>
    <row r="16">
      <c r="A16" s="10" t="inlineStr">
        <is>
          <t>MH-002</t>
        </is>
      </c>
      <c r="B16" s="10" t="n">
        <v>6</v>
      </c>
      <c r="C16" s="10" t="inlineStr">
        <is>
          <t>ACCION_CLIENTE</t>
        </is>
      </c>
      <c r="D16" s="10" t="inlineStr">
        <is>
          <t>R10</t>
        </is>
      </c>
      <c r="E16" s="10" t="inlineStr">
        <is>
          <t>Hacer los cambios para evitar la acumulación de grasa en los equipos.</t>
        </is>
      </c>
      <c r="F16" s="12">
        <f>IF(D16="","",IFERROR(INDEX(kb_regla_recomendacion!$G$2:$G$200,MATCH(D16,kb_regla_recomendacion!$A$2:$A$200,0)),"Regla no existe"))</f>
        <v/>
      </c>
    </row>
    <row r="17">
      <c r="A17" s="10" t="inlineStr">
        <is>
          <t>MH-003</t>
        </is>
      </c>
      <c r="B17" s="10" t="n">
        <v>1</v>
      </c>
      <c r="C17" s="10" t="inlineStr">
        <is>
          <t>RECOMENDACION</t>
        </is>
      </c>
      <c r="D17" s="10" t="inlineStr">
        <is>
          <t>R05</t>
        </is>
      </c>
      <c r="E17" s="10" t="inlineStr">
        <is>
          <t>Instalar un switch en barra que reparta la conexión para el repetidor, la impresora de barra y caja.</t>
        </is>
      </c>
      <c r="F17" s="12">
        <f>IF(D17="","",IFERROR(INDEX(kb_regla_recomendacion!$G$2:$G$200,MATCH(D17,kb_regla_recomendacion!$A$2:$A$200,0)),"Regla no existe"))</f>
        <v/>
      </c>
    </row>
    <row r="18">
      <c r="A18" s="10" t="inlineStr">
        <is>
          <t>MH-003</t>
        </is>
      </c>
      <c r="B18" s="10" t="n">
        <v>2</v>
      </c>
      <c r="C18" s="10" t="inlineStr">
        <is>
          <t>RECOMENDACION</t>
        </is>
      </c>
      <c r="D18" s="10" t="inlineStr">
        <is>
          <t>R02</t>
        </is>
      </c>
      <c r="E18" s="10" t="inlineStr">
        <is>
          <t>Adquirir un Raspberry para que el sistema de impresiones sea directo y ya no usar los programas de impresión en una PC.</t>
        </is>
      </c>
      <c r="F18" s="12">
        <f>IF(D18="","",IFERROR(INDEX(kb_regla_recomendacion!$G$2:$G$200,MATCH(D18,kb_regla_recomendacion!$A$2:$A$200,0)),"Regla no existe"))</f>
        <v/>
      </c>
    </row>
    <row r="19">
      <c r="A19" s="10" t="inlineStr">
        <is>
          <t>MH-003</t>
        </is>
      </c>
      <c r="B19" s="10" t="n">
        <v>3</v>
      </c>
      <c r="C19" s="10" t="inlineStr">
        <is>
          <t>ACCION_ID</t>
        </is>
      </c>
      <c r="D19" s="10" t="inlineStr">
        <is>
          <t>A03</t>
        </is>
      </c>
      <c r="E19" s="10" t="inlineStr">
        <is>
          <t>Enviar cotización del kit de Raspberry.</t>
        </is>
      </c>
      <c r="F19" s="12">
        <f>IF(D19="","",IFERROR(INDEX(kb_regla_recomendacion!$G$2:$G$200,MATCH(D19,kb_regla_recomendacion!$A$2:$A$200,0)),"Regla no existe"))</f>
        <v/>
      </c>
    </row>
    <row r="20">
      <c r="A20" s="10" t="inlineStr">
        <is>
          <t>MH-003</t>
        </is>
      </c>
      <c r="B20" s="10" t="n">
        <v>4</v>
      </c>
      <c r="C20" s="10" t="inlineStr">
        <is>
          <t>ACCION_ID</t>
        </is>
      </c>
      <c r="D20" s="10" t="inlineStr">
        <is>
          <t>A03</t>
        </is>
      </c>
      <c r="E20" s="10" t="inlineStr">
        <is>
          <t>Enviar cotización de 3 switch.</t>
        </is>
      </c>
      <c r="F20" s="12">
        <f>IF(D20="","",IFERROR(INDEX(kb_regla_recomendacion!$G$2:$G$200,MATCH(D20,kb_regla_recomendacion!$A$2:$A$200,0)),"Regla no existe"))</f>
        <v/>
      </c>
    </row>
    <row r="21">
      <c r="A21" s="10" t="inlineStr">
        <is>
          <t>MH-003</t>
        </is>
      </c>
      <c r="B21" s="10" t="n">
        <v>5</v>
      </c>
      <c r="C21" s="10" t="inlineStr">
        <is>
          <t>ACCION_ID</t>
        </is>
      </c>
      <c r="D21" s="10" t="inlineStr">
        <is>
          <t>A01</t>
        </is>
      </c>
      <c r="E21" s="10" t="inlineStr">
        <is>
          <t>Enviar minuta.</t>
        </is>
      </c>
      <c r="F21" s="12">
        <f>IF(D21="","",IFERROR(INDEX(kb_regla_recomendacion!$G$2:$G$200,MATCH(D21,kb_regla_recomendacion!$A$2:$A$200,0)),"Regla no existe"))</f>
        <v/>
      </c>
    </row>
    <row r="22">
      <c r="A22" s="10" t="inlineStr">
        <is>
          <t>MH-003</t>
        </is>
      </c>
      <c r="B22" s="10" t="n">
        <v>6</v>
      </c>
      <c r="C22" s="10" t="inlineStr">
        <is>
          <t>ACCION_CLIENTE</t>
        </is>
      </c>
      <c r="D22" s="10" t="inlineStr">
        <is>
          <t>A02</t>
        </is>
      </c>
      <c r="E22" s="10" t="inlineStr">
        <is>
          <t>Confirmar recepción de la minuta de visita técnica.</t>
        </is>
      </c>
      <c r="F22" s="12">
        <f>IF(D22="","",IFERROR(INDEX(kb_regla_recomendacion!$G$2:$G$200,MATCH(D22,kb_regla_recomendacion!$A$2:$A$200,0)),"Regla no existe"))</f>
        <v/>
      </c>
    </row>
    <row r="23">
      <c r="A23" s="10" t="inlineStr">
        <is>
          <t>MH-004</t>
        </is>
      </c>
      <c r="B23" s="10" t="n">
        <v>1</v>
      </c>
      <c r="C23" s="10" t="inlineStr">
        <is>
          <t>ACCION_ID</t>
        </is>
      </c>
      <c r="D23" s="10" t="inlineStr">
        <is>
          <t>A04</t>
        </is>
      </c>
      <c r="E23" s="10" t="inlineStr">
        <is>
          <t>Realizar capacitación e inicio con el sistema el 01 de junio.</t>
        </is>
      </c>
      <c r="F23" s="12">
        <f>IF(D23="","",IFERROR(INDEX(kb_regla_recomendacion!$G$2:$G$200,MATCH(D23,kb_regla_recomendacion!$A$2:$A$200,0)),"Regla no existe"))</f>
        <v/>
      </c>
    </row>
    <row r="24">
      <c r="A24" s="10" t="inlineStr">
        <is>
          <t>MH-004</t>
        </is>
      </c>
      <c r="B24" s="10" t="n">
        <v>2</v>
      </c>
      <c r="C24" s="10" t="inlineStr">
        <is>
          <t>ACCION_ID</t>
        </is>
      </c>
      <c r="D24" s="10" t="inlineStr">
        <is>
          <t>A05</t>
        </is>
      </c>
      <c r="E24" s="10" t="inlineStr">
        <is>
          <t>Realizar pruebas de comanda por impresora USB.</t>
        </is>
      </c>
      <c r="F24" s="12">
        <f>IF(D24="","",IFERROR(INDEX(kb_regla_recomendacion!$G$2:$G$200,MATCH(D24,kb_regla_recomendacion!$A$2:$A$200,0)),"Regla no existe"))</f>
        <v/>
      </c>
    </row>
    <row r="25">
      <c r="A25" s="10" t="inlineStr">
        <is>
          <t>MH-004</t>
        </is>
      </c>
      <c r="B25" s="10" t="n">
        <v>3</v>
      </c>
      <c r="C25" s="10" t="inlineStr">
        <is>
          <t>ACCION_ID</t>
        </is>
      </c>
      <c r="D25" s="10" t="inlineStr">
        <is>
          <t>A01</t>
        </is>
      </c>
      <c r="E25" s="10" t="inlineStr">
        <is>
          <t>Compartir minuta técnica.</t>
        </is>
      </c>
      <c r="F25" s="12">
        <f>IF(D25="","",IFERROR(INDEX(kb_regla_recomendacion!$G$2:$G$200,MATCH(D25,kb_regla_recomendacion!$A$2:$A$200,0)),"Regla no existe"))</f>
        <v/>
      </c>
    </row>
    <row r="26">
      <c r="A26" s="10" t="inlineStr">
        <is>
          <t>MH-004</t>
        </is>
      </c>
      <c r="B26" s="10" t="n">
        <v>4</v>
      </c>
      <c r="C26" s="10" t="inlineStr">
        <is>
          <t>ACCION_CLIENTE</t>
        </is>
      </c>
      <c r="D26" s="10" t="inlineStr">
        <is>
          <t>A06</t>
        </is>
      </c>
      <c r="E26" s="10" t="inlineStr">
        <is>
          <t>Brindar la lista de usuarios a los que se dará acceso como meseros.</t>
        </is>
      </c>
      <c r="F26" s="12">
        <f>IF(D26="","",IFERROR(INDEX(kb_regla_recomendacion!$G$2:$G$200,MATCH(D26,kb_regla_recomendacion!$A$2:$A$200,0)),"Regla no existe"))</f>
        <v/>
      </c>
    </row>
    <row r="27">
      <c r="A27" s="10" t="inlineStr">
        <is>
          <t>MH-005</t>
        </is>
      </c>
      <c r="B27" s="10" t="n">
        <v>1</v>
      </c>
      <c r="C27" s="10" t="inlineStr">
        <is>
          <t>RECOMENDACION</t>
        </is>
      </c>
      <c r="D27" s="10" t="inlineStr">
        <is>
          <t>A09</t>
        </is>
      </c>
      <c r="E27" s="10" t="inlineStr">
        <is>
          <t>Revisar a detalle y dar seguimiento a la red.</t>
        </is>
      </c>
      <c r="F27" s="12">
        <f>IF(D27="","",IFERROR(INDEX(kb_regla_recomendacion!$G$2:$G$200,MATCH(D27,kb_regla_recomendacion!$A$2:$A$200,0)),"Regla no existe"))</f>
        <v/>
      </c>
    </row>
    <row r="28">
      <c r="A28" s="10" t="inlineStr">
        <is>
          <t>MH-005</t>
        </is>
      </c>
      <c r="B28" s="10" t="n">
        <v>2</v>
      </c>
      <c r="C28" s="10" t="inlineStr">
        <is>
          <t>RECOMENDACION</t>
        </is>
      </c>
      <c r="D28" s="10" t="inlineStr">
        <is>
          <t>A09</t>
        </is>
      </c>
      <c r="E28" s="10" t="inlineStr">
        <is>
          <t>Constatar los temas desarrollados con el técnico de Dorcher.</t>
        </is>
      </c>
      <c r="F28" s="12">
        <f>IF(D28="","",IFERROR(INDEX(kb_regla_recomendacion!$G$2:$G$200,MATCH(D28,kb_regla_recomendacion!$A$2:$A$200,0)),"Regla no existe"))</f>
        <v/>
      </c>
    </row>
    <row r="29">
      <c r="A29" s="10" t="inlineStr">
        <is>
          <t>MH-005</t>
        </is>
      </c>
      <c r="B29" s="10" t="n">
        <v>3</v>
      </c>
      <c r="C29" s="10" t="inlineStr">
        <is>
          <t>ACCION_ID</t>
        </is>
      </c>
      <c r="D29" s="10" t="inlineStr">
        <is>
          <t>A01</t>
        </is>
      </c>
      <c r="E29" s="10" t="inlineStr">
        <is>
          <t>Envío de minuta detallada.</t>
        </is>
      </c>
      <c r="F29" s="12">
        <f>IF(D29="","",IFERROR(INDEX(kb_regla_recomendacion!$G$2:$G$200,MATCH(D29,kb_regla_recomendacion!$A$2:$A$200,0)),"Regla no existe"))</f>
        <v/>
      </c>
    </row>
    <row r="30">
      <c r="A30" s="10" t="inlineStr">
        <is>
          <t>MH-005</t>
        </is>
      </c>
      <c r="B30" s="10" t="n">
        <v>4</v>
      </c>
      <c r="C30" s="10" t="inlineStr">
        <is>
          <t>ACCION_ID</t>
        </is>
      </c>
      <c r="D30" s="10" t="inlineStr">
        <is>
          <t>A09</t>
        </is>
      </c>
      <c r="E30" s="10" t="inlineStr">
        <is>
          <t>Seguimiento al local Dorcher San Miguel.</t>
        </is>
      </c>
      <c r="F30" s="12">
        <f>IF(D30="","",IFERROR(INDEX(kb_regla_recomendacion!$G$2:$G$200,MATCH(D30,kb_regla_recomendacion!$A$2:$A$200,0)),"Regla no existe"))</f>
        <v/>
      </c>
    </row>
    <row r="31">
      <c r="A31" s="10" t="inlineStr">
        <is>
          <t>MH-005</t>
        </is>
      </c>
      <c r="B31" s="10" t="n">
        <v>5</v>
      </c>
      <c r="C31" s="10" t="inlineStr">
        <is>
          <t>ACCION_CLIENTE</t>
        </is>
      </c>
      <c r="D31" s="10" t="inlineStr">
        <is>
          <t>A02</t>
        </is>
      </c>
      <c r="E31" s="10" t="inlineStr">
        <is>
          <t>Recepción de la minuta detallada.</t>
        </is>
      </c>
      <c r="F31" s="12">
        <f>IF(D31="","",IFERROR(INDEX(kb_regla_recomendacion!$G$2:$G$200,MATCH(D31,kb_regla_recomendacion!$A$2:$A$200,0)),"Regla no existe"))</f>
        <v/>
      </c>
    </row>
    <row r="32">
      <c r="A32" s="10" t="inlineStr">
        <is>
          <t>MH-006</t>
        </is>
      </c>
      <c r="B32" s="10" t="n">
        <v>1</v>
      </c>
      <c r="C32" s="10" t="inlineStr">
        <is>
          <t>RECOMENDACION</t>
        </is>
      </c>
      <c r="D32" s="10" t="inlineStr">
        <is>
          <t>R30</t>
        </is>
      </c>
      <c r="E32" s="10" t="inlineStr">
        <is>
          <t>No hacer cambios en el cableado; si se hacen, informar primero a ID, porque todos los equipos están configurados en la red Claro.</t>
        </is>
      </c>
      <c r="F32" s="12">
        <f>IF(D32="","",IFERROR(INDEX(kb_regla_recomendacion!$G$2:$G$200,MATCH(D32,kb_regla_recomendacion!$A$2:$A$200,0)),"Regla no existe"))</f>
        <v/>
      </c>
    </row>
    <row r="33">
      <c r="A33" s="10" t="inlineStr">
        <is>
          <t>MH-006</t>
        </is>
      </c>
      <c r="B33" s="10" t="n">
        <v>2</v>
      </c>
      <c r="C33" s="10" t="inlineStr">
        <is>
          <t>RECOMENDACION</t>
        </is>
      </c>
      <c r="D33" s="10" t="inlineStr">
        <is>
          <t>R32</t>
        </is>
      </c>
      <c r="E33" s="10" t="inlineStr">
        <is>
          <t>Usar las redes Dorcher sistemas y Dorcher clientes según la que tome cada tablet.</t>
        </is>
      </c>
      <c r="F33" s="12">
        <f>IF(D33="","",IFERROR(INDEX(kb_regla_recomendacion!$G$2:$G$200,MATCH(D33,kb_regla_recomendacion!$A$2:$A$200,0)),"Regla no existe"))</f>
        <v/>
      </c>
    </row>
    <row r="34">
      <c r="A34" s="10" t="inlineStr">
        <is>
          <t>MH-007</t>
        </is>
      </c>
      <c r="B34" s="10" t="n">
        <v>1</v>
      </c>
      <c r="C34" s="10" t="inlineStr">
        <is>
          <t>RECOMENDACION</t>
        </is>
      </c>
      <c r="D34" s="10" t="inlineStr">
        <is>
          <t>R56</t>
        </is>
      </c>
      <c r="E34" s="10" t="inlineStr">
        <is>
          <t>Contar con el respaldo de internet del TP-Link con chip, porque el proveedor suele tener caídas.</t>
        </is>
      </c>
      <c r="F34" s="12">
        <f>IF(D34="","",IFERROR(INDEX(kb_regla_recomendacion!$G$2:$G$200,MATCH(D34,kb_regla_recomendacion!$A$2:$A$200,0)),"Regla no existe"))</f>
        <v/>
      </c>
    </row>
    <row r="35">
      <c r="A35" s="10" t="inlineStr">
        <is>
          <t>MH-007</t>
        </is>
      </c>
      <c r="B35" s="10" t="n">
        <v>2</v>
      </c>
      <c r="C35" s="10" t="inlineStr">
        <is>
          <t>RECOMENDACION</t>
        </is>
      </c>
      <c r="D35" s="10" t="inlineStr">
        <is>
          <t>R48</t>
        </is>
      </c>
      <c r="E35" s="10" t="inlineStr">
        <is>
          <t>Adquirir un switch de 5 puertos para dar red a la barra de makis.</t>
        </is>
      </c>
      <c r="F35" s="12">
        <f>IF(D35="","",IFERROR(INDEX(kb_regla_recomendacion!$G$2:$G$200,MATCH(D35,kb_regla_recomendacion!$A$2:$A$200,0)),"Regla no existe"))</f>
        <v/>
      </c>
    </row>
    <row r="36">
      <c r="A36" s="10" t="inlineStr">
        <is>
          <t>MH-007</t>
        </is>
      </c>
      <c r="B36" s="10" t="n">
        <v>3</v>
      </c>
      <c r="C36" s="10" t="inlineStr">
        <is>
          <t>RECOMENDACION</t>
        </is>
      </c>
      <c r="D36" s="10" t="inlineStr">
        <is>
          <t>R39</t>
        </is>
      </c>
      <c r="E36" s="10" t="inlineStr">
        <is>
          <t>Usar el monitor Summi con chip en el segundo piso para agilizar el ingreso de órdenes y contar con rollos para ese equipo.</t>
        </is>
      </c>
      <c r="F36" s="12">
        <f>IF(D36="","",IFERROR(INDEX(kb_regla_recomendacion!$G$2:$G$200,MATCH(D36,kb_regla_recomendacion!$A$2:$A$200,0)),"Regla no existe"))</f>
        <v/>
      </c>
    </row>
    <row r="37">
      <c r="A37" s="10" t="inlineStr">
        <is>
          <t>MH-007</t>
        </is>
      </c>
      <c r="B37" s="10" t="n">
        <v>4</v>
      </c>
      <c r="C37" s="10" t="inlineStr">
        <is>
          <t>RECOMENDACION</t>
        </is>
      </c>
      <c r="D37" s="10" t="inlineStr">
        <is>
          <t>R33</t>
        </is>
      </c>
      <c r="E37" s="10" t="inlineStr">
        <is>
          <t>Optar por un servicio de internet por fibra.</t>
        </is>
      </c>
      <c r="F37" s="12">
        <f>IF(D37="","",IFERROR(INDEX(kb_regla_recomendacion!$G$2:$G$200,MATCH(D37,kb_regla_recomendacion!$A$2:$A$200,0)),"Regla no existe"))</f>
        <v/>
      </c>
    </row>
    <row r="38">
      <c r="A38" s="10" t="inlineStr">
        <is>
          <t>MH-007</t>
        </is>
      </c>
      <c r="B38" s="10" t="n">
        <v>5</v>
      </c>
      <c r="C38" s="10" t="inlineStr">
        <is>
          <t>ACCION_ID</t>
        </is>
      </c>
      <c r="D38" s="10" t="inlineStr">
        <is>
          <t>A01</t>
        </is>
      </c>
      <c r="E38" s="10" t="inlineStr">
        <is>
          <t>Compartir la minuta de visita técnica.</t>
        </is>
      </c>
      <c r="F38" s="12">
        <f>IF(D38="","",IFERROR(INDEX(kb_regla_recomendacion!$G$2:$G$200,MATCH(D38,kb_regla_recomendacion!$A$2:$A$200,0)),"Regla no existe"))</f>
        <v/>
      </c>
    </row>
    <row r="39">
      <c r="A39" s="10" t="inlineStr">
        <is>
          <t>MH-007</t>
        </is>
      </c>
      <c r="B39" s="10" t="n">
        <v>6</v>
      </c>
      <c r="C39" s="10" t="inlineStr">
        <is>
          <t>ACCION_ID</t>
        </is>
      </c>
      <c r="D39" s="10" t="inlineStr">
        <is>
          <t>A03</t>
        </is>
      </c>
      <c r="E39" s="10" t="inlineStr">
        <is>
          <t>Enviar cotización de TP-Link, 2 chips y 1 switch de 5 puertos.</t>
        </is>
      </c>
      <c r="F39" s="12">
        <f>IF(D39="","",IFERROR(INDEX(kb_regla_recomendacion!$G$2:$G$200,MATCH(D39,kb_regla_recomendacion!$A$2:$A$200,0)),"Regla no existe"))</f>
        <v/>
      </c>
    </row>
    <row r="40">
      <c r="A40" s="10" t="inlineStr">
        <is>
          <t>MH-007</t>
        </is>
      </c>
      <c r="B40" s="10" t="n">
        <v>7</v>
      </c>
      <c r="C40" s="10" t="inlineStr">
        <is>
          <t>ACCION_CLIENTE</t>
        </is>
      </c>
      <c r="D40" s="10" t="inlineStr">
        <is>
          <t>A02</t>
        </is>
      </c>
      <c r="E40" s="10" t="inlineStr">
        <is>
          <t>Confirmar recepción de la minuta de visita técnica y cotizaciones.</t>
        </is>
      </c>
      <c r="F40" s="12">
        <f>IF(D40="","",IFERROR(INDEX(kb_regla_recomendacion!$G$2:$G$200,MATCH(D40,kb_regla_recomendacion!$A$2:$A$200,0)),"Regla no existe"))</f>
        <v/>
      </c>
    </row>
    <row r="41">
      <c r="A41" s="10" t="inlineStr">
        <is>
          <t>MH-007</t>
        </is>
      </c>
      <c r="B41" s="10" t="n">
        <v>8</v>
      </c>
      <c r="C41" s="10" t="inlineStr">
        <is>
          <t>ACCION_CLIENTE</t>
        </is>
      </c>
      <c r="D41" s="10" t="inlineStr">
        <is>
          <t>R26</t>
        </is>
      </c>
      <c r="E41" s="10" t="inlineStr">
        <is>
          <t>Agendar una visita técnica para la instalación del switch.</t>
        </is>
      </c>
      <c r="F41" s="12">
        <f>IF(D41="","",IFERROR(INDEX(kb_regla_recomendacion!$G$2:$G$200,MATCH(D41,kb_regla_recomendacion!$A$2:$A$200,0)),"Regla no existe"))</f>
        <v/>
      </c>
    </row>
    <row r="42">
      <c r="A42" s="10" t="inlineStr">
        <is>
          <t>MH-008</t>
        </is>
      </c>
      <c r="B42" s="10" t="n">
        <v>1</v>
      </c>
      <c r="C42" s="10" t="inlineStr">
        <is>
          <t>RECOMENDACION</t>
        </is>
      </c>
      <c r="D42" s="10" t="inlineStr">
        <is>
          <t>R33</t>
        </is>
      </c>
      <c r="E42" s="10" t="inlineStr">
        <is>
          <t>Verificar el consumo de datos con Testmy.net y recargar si es posible para mejorar el internet.</t>
        </is>
      </c>
      <c r="F42" s="12">
        <f>IF(D42="","",IFERROR(INDEX(kb_regla_recomendacion!$G$2:$G$200,MATCH(D42,kb_regla_recomendacion!$A$2:$A$200,0)),"Regla no existe"))</f>
        <v/>
      </c>
    </row>
    <row r="43">
      <c r="A43" s="10" t="inlineStr">
        <is>
          <t>MH-008</t>
        </is>
      </c>
      <c r="B43" s="10" t="n">
        <v>2</v>
      </c>
      <c r="C43" s="10" t="inlineStr">
        <is>
          <t>RECOMENDACION</t>
        </is>
      </c>
      <c r="D43" s="10" t="inlineStr">
        <is>
          <t>R33</t>
        </is>
      </c>
      <c r="E43" s="10" t="inlineStr">
        <is>
          <t>Si es posible cambiar de proveedor, se recomienda Starlink.</t>
        </is>
      </c>
      <c r="F43" s="12">
        <f>IF(D43="","",IFERROR(INDEX(kb_regla_recomendacion!$G$2:$G$200,MATCH(D43,kb_regla_recomendacion!$A$2:$A$200,0)),"Regla no existe"))</f>
        <v/>
      </c>
    </row>
    <row r="44">
      <c r="A44" s="10" t="inlineStr">
        <is>
          <t>MH-008</t>
        </is>
      </c>
      <c r="B44" s="10" t="n">
        <v>3</v>
      </c>
      <c r="C44" s="10" t="inlineStr">
        <is>
          <t>RECOMENDACION</t>
        </is>
      </c>
      <c r="D44" s="10" t="inlineStr">
        <is>
          <t>R27</t>
        </is>
      </c>
      <c r="E44" s="10" t="inlineStr">
        <is>
          <t>Dar mantenimiento a los gabinetes cada 3 a 6 meses con sopleteador por la acumulación de polvo.</t>
        </is>
      </c>
      <c r="F44" s="12">
        <f>IF(D44="","",IFERROR(INDEX(kb_regla_recomendacion!$G$2:$G$200,MATCH(D44,kb_regla_recomendacion!$A$2:$A$200,0)),"Regla no existe"))</f>
        <v/>
      </c>
    </row>
    <row r="45">
      <c r="A45" s="10" t="inlineStr">
        <is>
          <t>MH-008</t>
        </is>
      </c>
      <c r="B45" s="10" t="n">
        <v>4</v>
      </c>
      <c r="C45" s="10" t="inlineStr">
        <is>
          <t>RECOMENDACION</t>
        </is>
      </c>
      <c r="D45" s="10" t="inlineStr">
        <is>
          <t>R34</t>
        </is>
      </c>
      <c r="E45" s="10" t="inlineStr">
        <is>
          <t>Aislar el Raspberry en un punto inaccesible.</t>
        </is>
      </c>
      <c r="F45" s="12">
        <f>IF(D45="","",IFERROR(INDEX(kb_regla_recomendacion!$G$2:$G$200,MATCH(D45,kb_regla_recomendacion!$A$2:$A$200,0)),"Regla no existe"))</f>
        <v/>
      </c>
    </row>
    <row r="46">
      <c r="A46" s="10" t="inlineStr">
        <is>
          <t>MH-008</t>
        </is>
      </c>
      <c r="B46" s="10" t="n">
        <v>5</v>
      </c>
      <c r="C46" s="10" t="inlineStr">
        <is>
          <t>RECOMENDACION</t>
        </is>
      </c>
      <c r="D46" s="10" t="inlineStr">
        <is>
          <t>R36</t>
        </is>
      </c>
      <c r="E46" s="10" t="inlineStr">
        <is>
          <t>Dejar cargar IDPos antes de operar para evitar descargas cruzadas y datos mezclados.</t>
        </is>
      </c>
      <c r="F46" s="12">
        <f>IF(D46="","",IFERROR(INDEX(kb_regla_recomendacion!$G$2:$G$200,MATCH(D46,kb_regla_recomendacion!$A$2:$A$200,0)),"Regla no existe"))</f>
        <v/>
      </c>
    </row>
    <row r="47">
      <c r="A47" s="10" t="inlineStr">
        <is>
          <t>MH-008</t>
        </is>
      </c>
      <c r="B47" s="10" t="n">
        <v>6</v>
      </c>
      <c r="C47" s="10" t="inlineStr">
        <is>
          <t>ACCION_ID</t>
        </is>
      </c>
      <c r="D47" s="10" t="inlineStr">
        <is>
          <t>A01</t>
        </is>
      </c>
      <c r="E47" s="10" t="inlineStr">
        <is>
          <t>Compartir la minuta de visita técnica.</t>
        </is>
      </c>
      <c r="F47" s="12">
        <f>IF(D47="","",IFERROR(INDEX(kb_regla_recomendacion!$G$2:$G$200,MATCH(D47,kb_regla_recomendacion!$A$2:$A$200,0)),"Regla no existe"))</f>
        <v/>
      </c>
    </row>
    <row r="48">
      <c r="A48" s="10" t="inlineStr">
        <is>
          <t>MH-008</t>
        </is>
      </c>
      <c r="B48" s="10" t="n">
        <v>7</v>
      </c>
      <c r="C48" s="10" t="inlineStr">
        <is>
          <t>ACCION_ID</t>
        </is>
      </c>
      <c r="D48" s="10" t="inlineStr">
        <is>
          <t>A09</t>
        </is>
      </c>
      <c r="E48" s="10" t="inlineStr">
        <is>
          <t>Apoyo mediante videollamada para la conexión del Raspberry.</t>
        </is>
      </c>
      <c r="F48" s="12">
        <f>IF(D48="","",IFERROR(INDEX(kb_regla_recomendacion!$G$2:$G$200,MATCH(D48,kb_regla_recomendacion!$A$2:$A$200,0)),"Regla no existe"))</f>
        <v/>
      </c>
    </row>
    <row r="49">
      <c r="A49" s="10" t="inlineStr">
        <is>
          <t>MH-008</t>
        </is>
      </c>
      <c r="B49" s="10" t="n">
        <v>8</v>
      </c>
      <c r="C49" s="10" t="inlineStr">
        <is>
          <t>ACCION_CLIENTE</t>
        </is>
      </c>
      <c r="D49" s="10" t="inlineStr">
        <is>
          <t>A02</t>
        </is>
      </c>
      <c r="E49" s="10" t="inlineStr">
        <is>
          <t>Confirmar recepción de la minuta de visita técnica.</t>
        </is>
      </c>
      <c r="F49" s="12">
        <f>IF(D49="","",IFERROR(INDEX(kb_regla_recomendacion!$G$2:$G$200,MATCH(D49,kb_regla_recomendacion!$A$2:$A$200,0)),"Regla no existe"))</f>
        <v/>
      </c>
    </row>
    <row r="50">
      <c r="A50" s="10" t="inlineStr">
        <is>
          <t>MH-008</t>
        </is>
      </c>
      <c r="B50" s="10" t="n">
        <v>9</v>
      </c>
      <c r="C50" s="10" t="inlineStr">
        <is>
          <t>ACCION_CLIENTE</t>
        </is>
      </c>
      <c r="D50" s="10" t="inlineStr">
        <is>
          <t>R02</t>
        </is>
      </c>
      <c r="E50" s="10" t="inlineStr">
        <is>
          <t>Hacer los cambios en Lagar para la implementación del Raspberry.</t>
        </is>
      </c>
      <c r="F50" s="12">
        <f>IF(D50="","",IFERROR(INDEX(kb_regla_recomendacion!$G$2:$G$200,MATCH(D50,kb_regla_recomendacion!$A$2:$A$200,0)),"Regla no existe"))</f>
        <v/>
      </c>
    </row>
    <row r="51">
      <c r="A51" s="10" t="inlineStr">
        <is>
          <t>MH-009</t>
        </is>
      </c>
      <c r="B51" s="10" t="n">
        <v>1</v>
      </c>
      <c r="C51" s="10" t="inlineStr">
        <is>
          <t>RECOMENDACION</t>
        </is>
      </c>
      <c r="D51" s="10" t="inlineStr">
        <is>
          <t>R16</t>
        </is>
      </c>
      <c r="E51" s="10" t="inlineStr">
        <is>
          <t>Solicitar cotización para adquirir una impresora de red para caja.</t>
        </is>
      </c>
      <c r="F51" s="12">
        <f>IF(D51="","",IFERROR(INDEX(kb_regla_recomendacion!$G$2:$G$200,MATCH(D51,kb_regla_recomendacion!$A$2:$A$200,0)),"Regla no existe"))</f>
        <v/>
      </c>
    </row>
    <row r="52">
      <c r="A52" s="10" t="inlineStr">
        <is>
          <t>MH-009</t>
        </is>
      </c>
      <c r="B52" s="10" t="n">
        <v>2</v>
      </c>
      <c r="C52" s="10" t="inlineStr">
        <is>
          <t>RECOMENDACION</t>
        </is>
      </c>
      <c r="D52" s="10" t="inlineStr">
        <is>
          <t>R05</t>
        </is>
      </c>
      <c r="E52" s="10" t="inlineStr">
        <is>
          <t>Implementar un punto de red para la impresora de caja con un switch de 8 puertos y el cableado.</t>
        </is>
      </c>
      <c r="F52" s="12">
        <f>IF(D52="","",IFERROR(INDEX(kb_regla_recomendacion!$G$2:$G$200,MATCH(D52,kb_regla_recomendacion!$A$2:$A$200,0)),"Regla no existe"))</f>
        <v/>
      </c>
    </row>
    <row r="53">
      <c r="A53" s="10" t="inlineStr">
        <is>
          <t>MH-009</t>
        </is>
      </c>
      <c r="B53" s="10" t="n">
        <v>3</v>
      </c>
      <c r="C53" s="10" t="inlineStr">
        <is>
          <t>ACCION_ID</t>
        </is>
      </c>
      <c r="D53" s="10" t="inlineStr">
        <is>
          <t>A01</t>
        </is>
      </c>
      <c r="E53" s="10" t="inlineStr">
        <is>
          <t>Compartir minuta de visita técnica, observaciones y recomendaciones.</t>
        </is>
      </c>
      <c r="F53" s="12">
        <f>IF(D53="","",IFERROR(INDEX(kb_regla_recomendacion!$G$2:$G$200,MATCH(D53,kb_regla_recomendacion!$A$2:$A$200,0)),"Regla no existe"))</f>
        <v/>
      </c>
    </row>
    <row r="54">
      <c r="A54" s="10" t="inlineStr">
        <is>
          <t>MH-009</t>
        </is>
      </c>
      <c r="B54" s="10" t="n">
        <v>4</v>
      </c>
      <c r="C54" s="10" t="inlineStr">
        <is>
          <t>ACCION_CLIENTE</t>
        </is>
      </c>
      <c r="D54" s="10" t="inlineStr">
        <is>
          <t>A07</t>
        </is>
      </c>
      <c r="E54" s="10" t="inlineStr">
        <is>
          <t>Compartir la información completa y la carta en el formato compartido.</t>
        </is>
      </c>
      <c r="F54" s="12">
        <f>IF(D54="","",IFERROR(INDEX(kb_regla_recomendacion!$G$2:$G$200,MATCH(D54,kb_regla_recomendacion!$A$2:$A$200,0)),"Regla no existe"))</f>
        <v/>
      </c>
    </row>
    <row r="55">
      <c r="A55" s="10" t="inlineStr">
        <is>
          <t>MH-009</t>
        </is>
      </c>
      <c r="B55" s="10" t="n">
        <v>5</v>
      </c>
      <c r="C55" s="10" t="inlineStr">
        <is>
          <t>ACCION_CLIENTE</t>
        </is>
      </c>
      <c r="D55" s="10" t="inlineStr">
        <is>
          <t>A02</t>
        </is>
      </c>
      <c r="E55" s="10" t="inlineStr">
        <is>
          <t>Confirmar la recepción de la minuta.</t>
        </is>
      </c>
      <c r="F55" s="12">
        <f>IF(D55="","",IFERROR(INDEX(kb_regla_recomendacion!$G$2:$G$200,MATCH(D55,kb_regla_recomendacion!$A$2:$A$200,0)),"Regla no existe"))</f>
        <v/>
      </c>
    </row>
    <row r="56">
      <c r="A56" s="10" t="inlineStr">
        <is>
          <t>MH-009</t>
        </is>
      </c>
      <c r="B56" s="10" t="n">
        <v>6</v>
      </c>
      <c r="C56" s="10" t="inlineStr">
        <is>
          <t>ACCION_CLIENTE</t>
        </is>
      </c>
      <c r="D56" s="10" t="inlineStr">
        <is>
          <t>A11</t>
        </is>
      </c>
      <c r="E56" s="10" t="inlineStr">
        <is>
          <t>Cotizar una impresora con puerto Ethernet.</t>
        </is>
      </c>
      <c r="F56" s="12">
        <f>IF(D56="","",IFERROR(INDEX(kb_regla_recomendacion!$G$2:$G$200,MATCH(D56,kb_regla_recomendacion!$A$2:$A$200,0)),"Regla no existe"))</f>
        <v/>
      </c>
    </row>
    <row r="57">
      <c r="A57" s="10" t="inlineStr">
        <is>
          <t>MH-009</t>
        </is>
      </c>
      <c r="B57" s="10" t="n">
        <v>7</v>
      </c>
      <c r="C57" s="10" t="inlineStr">
        <is>
          <t>ACCION_CLIENTE</t>
        </is>
      </c>
      <c r="D57" s="10" t="inlineStr">
        <is>
          <t>A12</t>
        </is>
      </c>
      <c r="E57" s="10" t="inlineStr">
        <is>
          <t>Informar la fecha en que se tenga habilitado el punto de red.</t>
        </is>
      </c>
      <c r="F57" s="12">
        <f>IF(D57="","",IFERROR(INDEX(kb_regla_recomendacion!$G$2:$G$200,MATCH(D57,kb_regla_recomendacion!$A$2:$A$200,0)),"Regla no existe"))</f>
        <v/>
      </c>
    </row>
    <row r="58">
      <c r="A58" s="10" t="inlineStr">
        <is>
          <t>MH-010</t>
        </is>
      </c>
      <c r="B58" s="10" t="n">
        <v>1</v>
      </c>
      <c r="C58" s="10" t="inlineStr">
        <is>
          <t>RECOMENDACION</t>
        </is>
      </c>
      <c r="D58" s="10" t="inlineStr">
        <is>
          <t>R37</t>
        </is>
      </c>
      <c r="E58" s="10" t="inlineStr">
        <is>
          <t>Cambiar los conectores de los cables de red de las impresoras, porque están desgastados y holgados.</t>
        </is>
      </c>
      <c r="F58" s="12">
        <f>IF(D58="","",IFERROR(INDEX(kb_regla_recomendacion!$G$2:$G$200,MATCH(D58,kb_regla_recomendacion!$A$2:$A$200,0)),"Regla no existe"))</f>
        <v/>
      </c>
    </row>
    <row r="59">
      <c r="A59" s="10" t="inlineStr">
        <is>
          <t>MH-010</t>
        </is>
      </c>
      <c r="B59" s="10" t="n">
        <v>2</v>
      </c>
      <c r="C59" s="10" t="inlineStr">
        <is>
          <t>ACCION_ID</t>
        </is>
      </c>
      <c r="D59" s="10" t="inlineStr">
        <is>
          <t>A01</t>
        </is>
      </c>
      <c r="E59" s="10" t="inlineStr">
        <is>
          <t>Compartir minuta de visita técnica, observaciones y recomendaciones.</t>
        </is>
      </c>
      <c r="F59" s="12">
        <f>IF(D59="","",IFERROR(INDEX(kb_regla_recomendacion!$G$2:$G$200,MATCH(D59,kb_regla_recomendacion!$A$2:$A$200,0)),"Regla no existe"))</f>
        <v/>
      </c>
    </row>
    <row r="60">
      <c r="A60" s="10" t="inlineStr">
        <is>
          <t>MH-010</t>
        </is>
      </c>
      <c r="B60" s="10" t="n">
        <v>3</v>
      </c>
      <c r="C60" s="10" t="inlineStr">
        <is>
          <t>ACCION_CLIENTE</t>
        </is>
      </c>
      <c r="D60" s="10" t="inlineStr">
        <is>
          <t>A07</t>
        </is>
      </c>
      <c r="E60" s="10" t="inlineStr">
        <is>
          <t>Compartir la información completa de la carta en el formato compartido.</t>
        </is>
      </c>
      <c r="F60" s="12">
        <f>IF(D60="","",IFERROR(INDEX(kb_regla_recomendacion!$G$2:$G$200,MATCH(D60,kb_regla_recomendacion!$A$2:$A$200,0)),"Regla no existe"))</f>
        <v/>
      </c>
    </row>
    <row r="61">
      <c r="A61" s="10" t="inlineStr">
        <is>
          <t>MH-010</t>
        </is>
      </c>
      <c r="B61" s="10" t="n">
        <v>4</v>
      </c>
      <c r="C61" s="10" t="inlineStr">
        <is>
          <t>ACCION_CLIENTE</t>
        </is>
      </c>
      <c r="D61" s="10" t="inlineStr">
        <is>
          <t>A02</t>
        </is>
      </c>
      <c r="E61" s="10" t="inlineStr">
        <is>
          <t>Confirmar la recepción de la minuta.</t>
        </is>
      </c>
      <c r="F61" s="12">
        <f>IF(D61="","",IFERROR(INDEX(kb_regla_recomendacion!$G$2:$G$200,MATCH(D61,kb_regla_recomendacion!$A$2:$A$200,0)),"Regla no existe"))</f>
        <v/>
      </c>
    </row>
    <row r="62">
      <c r="A62" s="10" t="inlineStr">
        <is>
          <t>MH-010</t>
        </is>
      </c>
      <c r="B62" s="10" t="n">
        <v>5</v>
      </c>
      <c r="C62" s="10" t="inlineStr">
        <is>
          <t>ACCION_CLIENTE</t>
        </is>
      </c>
      <c r="D62" s="10" t="inlineStr">
        <is>
          <t>R37</t>
        </is>
      </c>
      <c r="E62" s="10" t="inlineStr">
        <is>
          <t>Cambiar los conectores de los cables de red.</t>
        </is>
      </c>
      <c r="F62" s="12">
        <f>IF(D62="","",IFERROR(INDEX(kb_regla_recomendacion!$G$2:$G$200,MATCH(D62,kb_regla_recomendacion!$A$2:$A$200,0)),"Regla no existe"))</f>
        <v/>
      </c>
    </row>
    <row r="63">
      <c r="A63" s="10" t="inlineStr">
        <is>
          <t>MH-011</t>
        </is>
      </c>
      <c r="B63" s="10" t="n">
        <v>1</v>
      </c>
      <c r="C63" s="10" t="inlineStr">
        <is>
          <t>RECOMENDACION</t>
        </is>
      </c>
      <c r="D63" s="10" t="inlineStr">
        <is>
          <t>R39</t>
        </is>
      </c>
      <c r="E63" s="10" t="inlineStr">
        <is>
          <t>Contar con una tablet adicional, ya que el local tiene 2 pisos.</t>
        </is>
      </c>
      <c r="F63" s="12">
        <f>IF(D63="","",IFERROR(INDEX(kb_regla_recomendacion!$G$2:$G$200,MATCH(D63,kb_regla_recomendacion!$A$2:$A$200,0)),"Regla no existe"))</f>
        <v/>
      </c>
    </row>
    <row r="64">
      <c r="A64" s="10" t="inlineStr">
        <is>
          <t>MH-011</t>
        </is>
      </c>
      <c r="B64" s="10" t="n">
        <v>2</v>
      </c>
      <c r="C64" s="10" t="inlineStr">
        <is>
          <t>ACCION_ID</t>
        </is>
      </c>
      <c r="D64" s="10" t="inlineStr">
        <is>
          <t>A01</t>
        </is>
      </c>
      <c r="E64" s="10" t="inlineStr">
        <is>
          <t>Compartir minuta de visita técnica y recomendaciones.</t>
        </is>
      </c>
      <c r="F64" s="12">
        <f>IF(D64="","",IFERROR(INDEX(kb_regla_recomendacion!$G$2:$G$200,MATCH(D64,kb_regla_recomendacion!$A$2:$A$200,0)),"Regla no existe"))</f>
        <v/>
      </c>
    </row>
    <row r="65">
      <c r="A65" s="10" t="inlineStr">
        <is>
          <t>MH-011</t>
        </is>
      </c>
      <c r="B65" s="10" t="n">
        <v>3</v>
      </c>
      <c r="C65" s="10" t="inlineStr">
        <is>
          <t>ACCION_CLIENTE</t>
        </is>
      </c>
      <c r="D65" s="10" t="inlineStr">
        <is>
          <t>A07</t>
        </is>
      </c>
      <c r="E65" s="10" t="inlineStr">
        <is>
          <t>Compartir la información completa de la carta en el formato compartido.</t>
        </is>
      </c>
      <c r="F65" s="12">
        <f>IF(D65="","",IFERROR(INDEX(kb_regla_recomendacion!$G$2:$G$200,MATCH(D65,kb_regla_recomendacion!$A$2:$A$200,0)),"Regla no existe"))</f>
        <v/>
      </c>
    </row>
    <row r="66">
      <c r="A66" s="10" t="inlineStr">
        <is>
          <t>MH-011</t>
        </is>
      </c>
      <c r="B66" s="10" t="n">
        <v>4</v>
      </c>
      <c r="C66" s="10" t="inlineStr">
        <is>
          <t>ACCION_CLIENTE</t>
        </is>
      </c>
      <c r="D66" s="10" t="inlineStr">
        <is>
          <t>A02</t>
        </is>
      </c>
      <c r="E66" s="10" t="inlineStr">
        <is>
          <t>Confirmar la recepción de la minuta.</t>
        </is>
      </c>
      <c r="F66" s="12">
        <f>IF(D66="","",IFERROR(INDEX(kb_regla_recomendacion!$G$2:$G$200,MATCH(D66,kb_regla_recomendacion!$A$2:$A$200,0)),"Regla no existe"))</f>
        <v/>
      </c>
    </row>
    <row r="67">
      <c r="A67" s="10" t="inlineStr">
        <is>
          <t>MH-012</t>
        </is>
      </c>
      <c r="B67" s="10" t="n">
        <v>1</v>
      </c>
      <c r="C67" s="10" t="inlineStr">
        <is>
          <t>ACCION_ID</t>
        </is>
      </c>
      <c r="D67" s="10" t="inlineStr">
        <is>
          <t>A01</t>
        </is>
      </c>
      <c r="E67" s="10" t="inlineStr">
        <is>
          <t>Compartir minuta de visita técnica.</t>
        </is>
      </c>
      <c r="F67" s="12">
        <f>IF(D67="","",IFERROR(INDEX(kb_regla_recomendacion!$G$2:$G$200,MATCH(D67,kb_regla_recomendacion!$A$2:$A$200,0)),"Regla no existe"))</f>
        <v/>
      </c>
    </row>
    <row r="68">
      <c r="A68" s="10" t="inlineStr">
        <is>
          <t>MH-012</t>
        </is>
      </c>
      <c r="B68" s="10" t="n">
        <v>2</v>
      </c>
      <c r="C68" s="10" t="inlineStr">
        <is>
          <t>ACCION_ID</t>
        </is>
      </c>
      <c r="D68" s="10" t="inlineStr">
        <is>
          <t>A10</t>
        </is>
      </c>
      <c r="E68" s="10" t="inlineStr">
        <is>
          <t>Configurar el sistema de impresiones en la PC de caja.</t>
        </is>
      </c>
      <c r="F68" s="12">
        <f>IF(D68="","",IFERROR(INDEX(kb_regla_recomendacion!$G$2:$G$200,MATCH(D68,kb_regla_recomendacion!$A$2:$A$200,0)),"Regla no existe"))</f>
        <v/>
      </c>
    </row>
    <row r="69">
      <c r="A69" s="10" t="inlineStr">
        <is>
          <t>MH-012</t>
        </is>
      </c>
      <c r="B69" s="10" t="n">
        <v>3</v>
      </c>
      <c r="C69" s="10" t="inlineStr">
        <is>
          <t>ACCION_CLIENTE</t>
        </is>
      </c>
      <c r="D69" s="10" t="inlineStr">
        <is>
          <t>A02</t>
        </is>
      </c>
      <c r="E69" s="10" t="inlineStr">
        <is>
          <t>Confirmar la recepción de la minuta.</t>
        </is>
      </c>
      <c r="F69" s="12">
        <f>IF(D69="","",IFERROR(INDEX(kb_regla_recomendacion!$G$2:$G$200,MATCH(D69,kb_regla_recomendacion!$A$2:$A$200,0)),"Regla no existe"))</f>
        <v/>
      </c>
    </row>
    <row r="70">
      <c r="A70" s="10" t="inlineStr">
        <is>
          <t>MH-013</t>
        </is>
      </c>
      <c r="B70" s="10" t="n">
        <v>1</v>
      </c>
      <c r="C70" s="10" t="inlineStr">
        <is>
          <t>RECOMENDACION</t>
        </is>
      </c>
      <c r="D70" s="10" t="inlineStr">
        <is>
          <t>R38</t>
        </is>
      </c>
      <c r="E70" s="10" t="inlineStr">
        <is>
          <t>Adquirir una impresora para la barra del piso 2 para contar con comandas y pre-cuentas.</t>
        </is>
      </c>
      <c r="F70" s="12">
        <f>IF(D70="","",IFERROR(INDEX(kb_regla_recomendacion!$G$2:$G$200,MATCH(D70,kb_regla_recomendacion!$A$2:$A$200,0)),"Regla no existe"))</f>
        <v/>
      </c>
    </row>
    <row r="71">
      <c r="A71" s="10" t="inlineStr">
        <is>
          <t>MH-013</t>
        </is>
      </c>
      <c r="B71" s="10" t="n">
        <v>2</v>
      </c>
      <c r="C71" s="10" t="inlineStr">
        <is>
          <t>RECOMENDACION</t>
        </is>
      </c>
      <c r="D71" s="10" t="inlineStr">
        <is>
          <t>R06</t>
        </is>
      </c>
      <c r="E71" s="10" t="inlineStr">
        <is>
          <t>Habilitar un punto de red desde el repetidor de la barra hacia la impresora a implementar.</t>
        </is>
      </c>
      <c r="F71" s="12">
        <f>IF(D71="","",IFERROR(INDEX(kb_regla_recomendacion!$G$2:$G$200,MATCH(D71,kb_regla_recomendacion!$A$2:$A$200,0)),"Regla no existe"))</f>
        <v/>
      </c>
    </row>
    <row r="72">
      <c r="A72" s="10" t="inlineStr">
        <is>
          <t>MH-013</t>
        </is>
      </c>
      <c r="B72" s="10" t="n">
        <v>3</v>
      </c>
      <c r="C72" s="10" t="inlineStr">
        <is>
          <t>ACCION_ID</t>
        </is>
      </c>
      <c r="D72" s="10" t="inlineStr">
        <is>
          <t>A01</t>
        </is>
      </c>
      <c r="E72" s="10" t="inlineStr">
        <is>
          <t>Compartir minuta de visita técnica, observaciones y recomendaciones.</t>
        </is>
      </c>
      <c r="F72" s="12">
        <f>IF(D72="","",IFERROR(INDEX(kb_regla_recomendacion!$G$2:$G$200,MATCH(D72,kb_regla_recomendacion!$A$2:$A$200,0)),"Regla no existe"))</f>
        <v/>
      </c>
    </row>
    <row r="73">
      <c r="A73" s="10" t="inlineStr">
        <is>
          <t>MH-013</t>
        </is>
      </c>
      <c r="B73" s="10" t="n">
        <v>4</v>
      </c>
      <c r="C73" s="10" t="inlineStr">
        <is>
          <t>ACCION_CLIENTE</t>
        </is>
      </c>
      <c r="D73" s="10" t="inlineStr">
        <is>
          <t>A07</t>
        </is>
      </c>
      <c r="E73" s="10" t="inlineStr">
        <is>
          <t>Compartir la información completa y la carta en el formato compartido.</t>
        </is>
      </c>
      <c r="F73" s="12">
        <f>IF(D73="","",IFERROR(INDEX(kb_regla_recomendacion!$G$2:$G$200,MATCH(D73,kb_regla_recomendacion!$A$2:$A$200,0)),"Regla no existe"))</f>
        <v/>
      </c>
    </row>
    <row r="74">
      <c r="A74" s="10" t="inlineStr">
        <is>
          <t>MH-013</t>
        </is>
      </c>
      <c r="B74" s="10" t="n">
        <v>5</v>
      </c>
      <c r="C74" s="10" t="inlineStr">
        <is>
          <t>ACCION_CLIENTE</t>
        </is>
      </c>
      <c r="D74" s="10" t="inlineStr">
        <is>
          <t>A11</t>
        </is>
      </c>
      <c r="E74" s="10" t="inlineStr">
        <is>
          <t>Solicitar cotización de impresora ticketera.</t>
        </is>
      </c>
      <c r="F74" s="12">
        <f>IF(D74="","",IFERROR(INDEX(kb_regla_recomendacion!$G$2:$G$200,MATCH(D74,kb_regla_recomendacion!$A$2:$A$200,0)),"Regla no existe"))</f>
        <v/>
      </c>
    </row>
    <row r="75">
      <c r="A75" s="10" t="inlineStr">
        <is>
          <t>MH-014</t>
        </is>
      </c>
      <c r="B75" s="10" t="n">
        <v>1</v>
      </c>
      <c r="C75" s="10" t="inlineStr">
        <is>
          <t>RECOMENDACION</t>
        </is>
      </c>
      <c r="D75" s="10" t="inlineStr">
        <is>
          <t>R16</t>
        </is>
      </c>
      <c r="E75" s="10" t="inlineStr">
        <is>
          <t>Cotizar una impresora ticketera con puerto Ethernet.</t>
        </is>
      </c>
      <c r="F75" s="12">
        <f>IF(D75="","",IFERROR(INDEX(kb_regla_recomendacion!$G$2:$G$200,MATCH(D75,kb_regla_recomendacion!$A$2:$A$200,0)),"Regla no existe"))</f>
        <v/>
      </c>
    </row>
    <row r="76">
      <c r="A76" s="10" t="inlineStr">
        <is>
          <t>MH-014</t>
        </is>
      </c>
      <c r="B76" s="10" t="n">
        <v>2</v>
      </c>
      <c r="C76" s="10" t="inlineStr">
        <is>
          <t>RECOMENDACION</t>
        </is>
      </c>
      <c r="D76" s="10" t="inlineStr">
        <is>
          <t>R48</t>
        </is>
      </c>
      <c r="E76" s="10" t="inlineStr">
        <is>
          <t>Adquirir un switch de 8 puertos.</t>
        </is>
      </c>
      <c r="F76" s="12">
        <f>IF(D76="","",IFERROR(INDEX(kb_regla_recomendacion!$G$2:$G$200,MATCH(D76,kb_regla_recomendacion!$A$2:$A$200,0)),"Regla no existe"))</f>
        <v/>
      </c>
    </row>
    <row r="77">
      <c r="A77" s="10" t="inlineStr">
        <is>
          <t>MH-014</t>
        </is>
      </c>
      <c r="B77" s="10" t="n">
        <v>3</v>
      </c>
      <c r="C77" s="10" t="inlineStr">
        <is>
          <t>RECOMENDACION</t>
        </is>
      </c>
      <c r="D77" s="10" t="inlineStr">
        <is>
          <t>R06</t>
        </is>
      </c>
      <c r="E77" s="10" t="inlineStr">
        <is>
          <t>Habilitar el cableado de red para la impresora de caja.</t>
        </is>
      </c>
      <c r="F77" s="12">
        <f>IF(D77="","",IFERROR(INDEX(kb_regla_recomendacion!$G$2:$G$200,MATCH(D77,kb_regla_recomendacion!$A$2:$A$200,0)),"Regla no existe"))</f>
        <v/>
      </c>
    </row>
    <row r="78">
      <c r="A78" s="10" t="inlineStr">
        <is>
          <t>MH-014</t>
        </is>
      </c>
      <c r="B78" s="10" t="n">
        <v>4</v>
      </c>
      <c r="C78" s="10" t="inlineStr">
        <is>
          <t>ACCION_ID</t>
        </is>
      </c>
      <c r="D78" s="10" t="inlineStr">
        <is>
          <t>A01</t>
        </is>
      </c>
      <c r="E78" s="10" t="inlineStr">
        <is>
          <t>Compartir minuta de visita técnica, observaciones y recomendaciones.</t>
        </is>
      </c>
      <c r="F78" s="12">
        <f>IF(D78="","",IFERROR(INDEX(kb_regla_recomendacion!$G$2:$G$200,MATCH(D78,kb_regla_recomendacion!$A$2:$A$200,0)),"Regla no existe"))</f>
        <v/>
      </c>
    </row>
    <row r="79">
      <c r="A79" s="10" t="inlineStr">
        <is>
          <t>MH-014</t>
        </is>
      </c>
      <c r="B79" s="10" t="n">
        <v>5</v>
      </c>
      <c r="C79" s="10" t="inlineStr">
        <is>
          <t>ACCION_CLIENTE</t>
        </is>
      </c>
      <c r="D79" s="10" t="inlineStr">
        <is>
          <t>A07</t>
        </is>
      </c>
      <c r="E79" s="10" t="inlineStr">
        <is>
          <t>Compartir la información completa de la carta en el formato compartido.</t>
        </is>
      </c>
      <c r="F79" s="12">
        <f>IF(D79="","",IFERROR(INDEX(kb_regla_recomendacion!$G$2:$G$200,MATCH(D79,kb_regla_recomendacion!$A$2:$A$200,0)),"Regla no existe"))</f>
        <v/>
      </c>
    </row>
    <row r="80">
      <c r="A80" s="10" t="inlineStr">
        <is>
          <t>MH-014</t>
        </is>
      </c>
      <c r="B80" s="10" t="n">
        <v>6</v>
      </c>
      <c r="C80" s="10" t="inlineStr">
        <is>
          <t>ACCION_CLIENTE</t>
        </is>
      </c>
      <c r="D80" s="10" t="inlineStr">
        <is>
          <t>A02</t>
        </is>
      </c>
      <c r="E80" s="10" t="inlineStr">
        <is>
          <t>Confirmar la recepción de la minuta.</t>
        </is>
      </c>
      <c r="F80" s="12">
        <f>IF(D80="","",IFERROR(INDEX(kb_regla_recomendacion!$G$2:$G$200,MATCH(D80,kb_regla_recomendacion!$A$2:$A$200,0)),"Regla no existe"))</f>
        <v/>
      </c>
    </row>
    <row r="81">
      <c r="A81" s="10" t="inlineStr">
        <is>
          <t>MH-014</t>
        </is>
      </c>
      <c r="B81" s="10" t="n">
        <v>7</v>
      </c>
      <c r="C81" s="10" t="inlineStr">
        <is>
          <t>ACCION_CLIENTE</t>
        </is>
      </c>
      <c r="D81" s="10" t="inlineStr">
        <is>
          <t>A11</t>
        </is>
      </c>
      <c r="E81" s="10" t="inlineStr">
        <is>
          <t>Solicitar la cotización de impresora ticketera.</t>
        </is>
      </c>
      <c r="F81" s="12">
        <f>IF(D81="","",IFERROR(INDEX(kb_regla_recomendacion!$G$2:$G$200,MATCH(D81,kb_regla_recomendacion!$A$2:$A$200,0)),"Regla no existe"))</f>
        <v/>
      </c>
    </row>
    <row r="82">
      <c r="A82" s="10" t="inlineStr">
        <is>
          <t>MH-014</t>
        </is>
      </c>
      <c r="B82" s="10" t="n">
        <v>8</v>
      </c>
      <c r="C82" s="10" t="inlineStr">
        <is>
          <t>ACCION_CLIENTE</t>
        </is>
      </c>
      <c r="D82" s="10" t="inlineStr">
        <is>
          <t>A12</t>
        </is>
      </c>
      <c r="E82" s="10" t="inlineStr">
        <is>
          <t>Comunicar cuando se haya habilitado el switch con el cableado para la impresora de caja.</t>
        </is>
      </c>
      <c r="F82" s="12">
        <f>IF(D82="","",IFERROR(INDEX(kb_regla_recomendacion!$G$2:$G$200,MATCH(D82,kb_regla_recomendacion!$A$2:$A$200,0)),"Regla no existe"))</f>
        <v/>
      </c>
    </row>
    <row r="83">
      <c r="A83" s="10" t="inlineStr">
        <is>
          <t>MH-015</t>
        </is>
      </c>
      <c r="B83" s="10" t="n">
        <v>1</v>
      </c>
      <c r="C83" s="10" t="inlineStr">
        <is>
          <t>RECOMENDACION</t>
        </is>
      </c>
      <c r="D83" s="10" t="inlineStr">
        <is>
          <t>A12</t>
        </is>
      </c>
      <c r="E83" s="10" t="inlineStr">
        <is>
          <t>Avisar cuando se haya instalado la impresora por cable de red para configurar su IP.</t>
        </is>
      </c>
      <c r="F83" s="12">
        <f>IF(D83="","",IFERROR(INDEX(kb_regla_recomendacion!$G$2:$G$200,MATCH(D83,kb_regla_recomendacion!$A$2:$A$200,0)),"Regla no existe"))</f>
        <v/>
      </c>
    </row>
    <row r="84">
      <c r="A84" s="10" t="inlineStr">
        <is>
          <t>MH-015</t>
        </is>
      </c>
      <c r="B84" s="10" t="n">
        <v>2</v>
      </c>
      <c r="C84" s="10" t="inlineStr">
        <is>
          <t>RECOMENDACION</t>
        </is>
      </c>
      <c r="D84" s="10" t="inlineStr">
        <is>
          <t>R06</t>
        </is>
      </c>
      <c r="E84" s="10" t="inlineStr">
        <is>
          <t>Habilitar un punto de red por cable hacia la impresora de caja para contar con comandas y pre-cuentas.</t>
        </is>
      </c>
      <c r="F84" s="12">
        <f>IF(D84="","",IFERROR(INDEX(kb_regla_recomendacion!$G$2:$G$200,MATCH(D84,kb_regla_recomendacion!$A$2:$A$200,0)),"Regla no existe"))</f>
        <v/>
      </c>
    </row>
    <row r="85">
      <c r="A85" s="10" t="inlineStr">
        <is>
          <t>MH-015</t>
        </is>
      </c>
      <c r="B85" s="10" t="n">
        <v>3</v>
      </c>
      <c r="C85" s="10" t="inlineStr">
        <is>
          <t>ACCION_ID</t>
        </is>
      </c>
      <c r="D85" s="10" t="inlineStr">
        <is>
          <t>A01</t>
        </is>
      </c>
      <c r="E85" s="10" t="inlineStr">
        <is>
          <t>Compartir minuta de visita técnica, observaciones y recomendaciones.</t>
        </is>
      </c>
      <c r="F85" s="12">
        <f>IF(D85="","",IFERROR(INDEX(kb_regla_recomendacion!$G$2:$G$200,MATCH(D85,kb_regla_recomendacion!$A$2:$A$200,0)),"Regla no existe"))</f>
        <v/>
      </c>
    </row>
    <row r="86">
      <c r="A86" s="10" t="inlineStr">
        <is>
          <t>MH-015</t>
        </is>
      </c>
      <c r="B86" s="10" t="n">
        <v>4</v>
      </c>
      <c r="C86" s="10" t="inlineStr">
        <is>
          <t>ACCION_CLIENTE</t>
        </is>
      </c>
      <c r="D86" s="10" t="inlineStr">
        <is>
          <t>A07</t>
        </is>
      </c>
      <c r="E86" s="10" t="inlineStr">
        <is>
          <t>Compartir la información completa de la carta en el formato compartido.</t>
        </is>
      </c>
      <c r="F86" s="12">
        <f>IF(D86="","",IFERROR(INDEX(kb_regla_recomendacion!$G$2:$G$200,MATCH(D86,kb_regla_recomendacion!$A$2:$A$200,0)),"Regla no existe"))</f>
        <v/>
      </c>
    </row>
    <row r="87">
      <c r="A87" s="10" t="inlineStr">
        <is>
          <t>MH-015</t>
        </is>
      </c>
      <c r="B87" s="10" t="n">
        <v>5</v>
      </c>
      <c r="C87" s="10" t="inlineStr">
        <is>
          <t>ACCION_CLIENTE</t>
        </is>
      </c>
      <c r="D87" s="10" t="inlineStr">
        <is>
          <t>A02</t>
        </is>
      </c>
      <c r="E87" s="10" t="inlineStr">
        <is>
          <t>Confirmar la recepción de la minuta.</t>
        </is>
      </c>
      <c r="F87" s="12">
        <f>IF(D87="","",IFERROR(INDEX(kb_regla_recomendacion!$G$2:$G$200,MATCH(D87,kb_regla_recomendacion!$A$2:$A$200,0)),"Regla no existe"))</f>
        <v/>
      </c>
    </row>
    <row r="88">
      <c r="A88" s="10" t="inlineStr">
        <is>
          <t>MH-015</t>
        </is>
      </c>
      <c r="B88" s="10" t="n">
        <v>6</v>
      </c>
      <c r="C88" s="10" t="inlineStr">
        <is>
          <t>ACCION_CLIENTE</t>
        </is>
      </c>
      <c r="D88" s="10" t="inlineStr">
        <is>
          <t>R06</t>
        </is>
      </c>
      <c r="E88" s="10" t="inlineStr">
        <is>
          <t>Implementar un punto de red por cable hacia la impresora.</t>
        </is>
      </c>
      <c r="F88" s="12">
        <f>IF(D88="","",IFERROR(INDEX(kb_regla_recomendacion!$G$2:$G$200,MATCH(D88,kb_regla_recomendacion!$A$2:$A$200,0)),"Regla no existe"))</f>
        <v/>
      </c>
    </row>
    <row r="89">
      <c r="A89" s="10" t="inlineStr">
        <is>
          <t>MH-016</t>
        </is>
      </c>
      <c r="B89" s="10" t="n">
        <v>1</v>
      </c>
      <c r="C89" s="10" t="inlineStr">
        <is>
          <t>RECOMENDACION</t>
        </is>
      </c>
      <c r="D89" s="10" t="inlineStr">
        <is>
          <t>R47</t>
        </is>
      </c>
      <c r="E89" s="10" t="inlineStr">
        <is>
          <t>Adquirir un kit Raspberry (minicomputadora que gestiona la impresión de boletas y facturas).</t>
        </is>
      </c>
      <c r="F89" s="12">
        <f>IF(D89="","",IFERROR(INDEX(kb_regla_recomendacion!$G$2:$G$200,MATCH(D89,kb_regla_recomendacion!$A$2:$A$200,0)),"Regla no existe"))</f>
        <v/>
      </c>
    </row>
    <row r="90">
      <c r="A90" s="10" t="inlineStr">
        <is>
          <t>MH-016</t>
        </is>
      </c>
      <c r="B90" s="10" t="n">
        <v>2</v>
      </c>
      <c r="C90" s="10" t="inlineStr">
        <is>
          <t>ACCION_ID</t>
        </is>
      </c>
      <c r="D90" s="10" t="inlineStr">
        <is>
          <t>A01</t>
        </is>
      </c>
      <c r="E90" s="10" t="inlineStr">
        <is>
          <t>Enviar minuta.</t>
        </is>
      </c>
      <c r="F90" s="12">
        <f>IF(D90="","",IFERROR(INDEX(kb_regla_recomendacion!$G$2:$G$200,MATCH(D90,kb_regla_recomendacion!$A$2:$A$200,0)),"Regla no existe"))</f>
        <v/>
      </c>
    </row>
    <row r="91">
      <c r="A91" s="10" t="inlineStr">
        <is>
          <t>MH-016</t>
        </is>
      </c>
      <c r="B91" s="10" t="n">
        <v>3</v>
      </c>
      <c r="C91" s="10" t="inlineStr">
        <is>
          <t>ACCION_ID</t>
        </is>
      </c>
      <c r="D91" s="10" t="inlineStr">
        <is>
          <t>A03</t>
        </is>
      </c>
      <c r="E91" s="10" t="inlineStr">
        <is>
          <t>Enviar cotización del Raspberry.</t>
        </is>
      </c>
      <c r="F91" s="12">
        <f>IF(D91="","",IFERROR(INDEX(kb_regla_recomendacion!$G$2:$G$200,MATCH(D91,kb_regla_recomendacion!$A$2:$A$200,0)),"Regla no existe"))</f>
        <v/>
      </c>
    </row>
    <row r="92">
      <c r="A92" s="10" t="inlineStr">
        <is>
          <t>MH-016</t>
        </is>
      </c>
      <c r="B92" s="10" t="n">
        <v>4</v>
      </c>
      <c r="C92" s="10" t="inlineStr">
        <is>
          <t>ACCION_CLIENTE</t>
        </is>
      </c>
      <c r="D92" s="10" t="inlineStr">
        <is>
          <t>A02</t>
        </is>
      </c>
      <c r="E92" s="10" t="inlineStr">
        <is>
          <t>Confirmar recepción de minuta.</t>
        </is>
      </c>
      <c r="F92" s="12">
        <f>IF(D92="","",IFERROR(INDEX(kb_regla_recomendacion!$G$2:$G$200,MATCH(D92,kb_regla_recomendacion!$A$2:$A$200,0)),"Regla no existe"))</f>
        <v/>
      </c>
    </row>
    <row r="93">
      <c r="A93" s="10" t="inlineStr">
        <is>
          <t>MH-016</t>
        </is>
      </c>
      <c r="B93" s="10" t="n">
        <v>5</v>
      </c>
      <c r="C93" s="10" t="inlineStr">
        <is>
          <t>ACCION_CLIENTE</t>
        </is>
      </c>
      <c r="D93" s="10" t="inlineStr">
        <is>
          <t>A11</t>
        </is>
      </c>
      <c r="E93" s="10" t="inlineStr">
        <is>
          <t>Confirmar la cotización del Raspberry.</t>
        </is>
      </c>
      <c r="F93" s="12">
        <f>IF(D93="","",IFERROR(INDEX(kb_regla_recomendacion!$G$2:$G$200,MATCH(D93,kb_regla_recomendacion!$A$2:$A$200,0)),"Regla no existe"))</f>
        <v/>
      </c>
    </row>
    <row r="94">
      <c r="A94" s="10" t="inlineStr">
        <is>
          <t>MH-016</t>
        </is>
      </c>
      <c r="B94" s="10" t="n">
        <v>6</v>
      </c>
      <c r="C94" s="10" t="inlineStr">
        <is>
          <t>ACCION_CLIENTE</t>
        </is>
      </c>
      <c r="D94" s="10" t="inlineStr">
        <is>
          <t>A08</t>
        </is>
      </c>
      <c r="E94" s="10" t="inlineStr">
        <is>
          <t>Confirmar fecha de inicio con IDPos.</t>
        </is>
      </c>
      <c r="F94" s="12">
        <f>IF(D94="","",IFERROR(INDEX(kb_regla_recomendacion!$G$2:$G$200,MATCH(D94,kb_regla_recomendacion!$A$2:$A$200,0)),"Regla no existe"))</f>
        <v/>
      </c>
    </row>
    <row r="95">
      <c r="A95" s="10" t="inlineStr">
        <is>
          <t>MH-017</t>
        </is>
      </c>
      <c r="B95" s="10" t="n">
        <v>1</v>
      </c>
      <c r="C95" s="10" t="inlineStr">
        <is>
          <t>RECOMENDACION</t>
        </is>
      </c>
      <c r="D95" s="10" t="inlineStr">
        <is>
          <t>R48</t>
        </is>
      </c>
      <c r="E95" s="10" t="inlineStr">
        <is>
          <t>Indispensable adquirir un switch de 4 puertos, porque el access point del salón no tiene puertos libres para el Raspberry.</t>
        </is>
      </c>
      <c r="F95" s="12">
        <f>IF(D95="","",IFERROR(INDEX(kb_regla_recomendacion!$G$2:$G$200,MATCH(D95,kb_regla_recomendacion!$A$2:$A$200,0)),"Regla no existe"))</f>
        <v/>
      </c>
    </row>
    <row r="96">
      <c r="A96" s="10" t="inlineStr">
        <is>
          <t>MH-017</t>
        </is>
      </c>
      <c r="B96" s="10" t="n">
        <v>2</v>
      </c>
      <c r="C96" s="10" t="inlineStr">
        <is>
          <t>RECOMENDACION</t>
        </is>
      </c>
      <c r="D96" s="10" t="inlineStr">
        <is>
          <t>R47</t>
        </is>
      </c>
      <c r="E96" s="10" t="inlineStr">
        <is>
          <t>Indispensable adquirir un kit Raspberry para la impresión de boletas y facturas.</t>
        </is>
      </c>
      <c r="F96" s="12">
        <f>IF(D96="","",IFERROR(INDEX(kb_regla_recomendacion!$G$2:$G$200,MATCH(D96,kb_regla_recomendacion!$A$2:$A$200,0)),"Regla no existe"))</f>
        <v/>
      </c>
    </row>
    <row r="97">
      <c r="A97" s="10" t="inlineStr">
        <is>
          <t>MH-017</t>
        </is>
      </c>
      <c r="B97" s="10" t="n">
        <v>3</v>
      </c>
      <c r="C97" s="10" t="inlineStr">
        <is>
          <t>ACCION_ID</t>
        </is>
      </c>
      <c r="D97" s="10" t="inlineStr">
        <is>
          <t>A01</t>
        </is>
      </c>
      <c r="E97" s="10" t="inlineStr">
        <is>
          <t>Enviar minuta.</t>
        </is>
      </c>
      <c r="F97" s="12">
        <f>IF(D97="","",IFERROR(INDEX(kb_regla_recomendacion!$G$2:$G$200,MATCH(D97,kb_regla_recomendacion!$A$2:$A$200,0)),"Regla no existe"))</f>
        <v/>
      </c>
    </row>
    <row r="98">
      <c r="A98" s="10" t="inlineStr">
        <is>
          <t>MH-017</t>
        </is>
      </c>
      <c r="B98" s="10" t="n">
        <v>4</v>
      </c>
      <c r="C98" s="10" t="inlineStr">
        <is>
          <t>ACCION_ID</t>
        </is>
      </c>
      <c r="D98" s="10" t="inlineStr">
        <is>
          <t>A03</t>
        </is>
      </c>
      <c r="E98" s="10" t="inlineStr">
        <is>
          <t>Enviar cotización del Raspberry + switch.</t>
        </is>
      </c>
      <c r="F98" s="12">
        <f>IF(D98="","",IFERROR(INDEX(kb_regla_recomendacion!$G$2:$G$200,MATCH(D98,kb_regla_recomendacion!$A$2:$A$200,0)),"Regla no existe"))</f>
        <v/>
      </c>
    </row>
    <row r="99">
      <c r="A99" s="10" t="inlineStr">
        <is>
          <t>MH-017</t>
        </is>
      </c>
      <c r="B99" s="10" t="n">
        <v>5</v>
      </c>
      <c r="C99" s="10" t="inlineStr">
        <is>
          <t>ACCION_CLIENTE</t>
        </is>
      </c>
      <c r="D99" s="10" t="inlineStr">
        <is>
          <t>A02</t>
        </is>
      </c>
      <c r="E99" s="10" t="inlineStr">
        <is>
          <t>Confirmar recepción de minuta.</t>
        </is>
      </c>
      <c r="F99" s="12">
        <f>IF(D99="","",IFERROR(INDEX(kb_regla_recomendacion!$G$2:$G$200,MATCH(D99,kb_regla_recomendacion!$A$2:$A$200,0)),"Regla no existe"))</f>
        <v/>
      </c>
    </row>
    <row r="100">
      <c r="A100" s="10" t="inlineStr">
        <is>
          <t>MH-017</t>
        </is>
      </c>
      <c r="B100" s="10" t="n">
        <v>6</v>
      </c>
      <c r="C100" s="10" t="inlineStr">
        <is>
          <t>ACCION_CLIENTE</t>
        </is>
      </c>
      <c r="D100" s="10" t="inlineStr">
        <is>
          <t>A11</t>
        </is>
      </c>
      <c r="E100" s="10" t="inlineStr">
        <is>
          <t>Confirmar la cotización del Raspberry + switch.</t>
        </is>
      </c>
      <c r="F100" s="12">
        <f>IF(D100="","",IFERROR(INDEX(kb_regla_recomendacion!$G$2:$G$200,MATCH(D100,kb_regla_recomendacion!$A$2:$A$200,0)),"Regla no existe"))</f>
        <v/>
      </c>
    </row>
    <row r="101">
      <c r="A101" s="10" t="inlineStr">
        <is>
          <t>MH-017</t>
        </is>
      </c>
      <c r="B101" s="10" t="n">
        <v>7</v>
      </c>
      <c r="C101" s="10" t="inlineStr">
        <is>
          <t>ACCION_CLIENTE</t>
        </is>
      </c>
      <c r="D101" s="10" t="inlineStr">
        <is>
          <t>A08</t>
        </is>
      </c>
      <c r="E101" s="10" t="inlineStr">
        <is>
          <t>Confirmar fecha de inicio con IDPos.</t>
        </is>
      </c>
      <c r="F101" s="12">
        <f>IF(D101="","",IFERROR(INDEX(kb_regla_recomendacion!$G$2:$G$200,MATCH(D101,kb_regla_recomendacion!$A$2:$A$200,0)),"Regla no existe"))</f>
        <v/>
      </c>
    </row>
    <row r="102">
      <c r="A102" s="10" t="inlineStr">
        <is>
          <t>MH-018</t>
        </is>
      </c>
      <c r="B102" s="10" t="n">
        <v>1</v>
      </c>
      <c r="C102" s="10" t="inlineStr">
        <is>
          <t>RECOMENDACION</t>
        </is>
      </c>
      <c r="D102" s="10" t="inlineStr">
        <is>
          <t>R47</t>
        </is>
      </c>
      <c r="E102" s="10" t="inlineStr">
        <is>
          <t>Indispensable adquirir un kit Raspberry para la impresión de boletas y facturas.</t>
        </is>
      </c>
      <c r="F102" s="12">
        <f>IF(D102="","",IFERROR(INDEX(kb_regla_recomendacion!$G$2:$G$200,MATCH(D102,kb_regla_recomendacion!$A$2:$A$200,0)),"Regla no existe"))</f>
        <v/>
      </c>
    </row>
    <row r="103">
      <c r="A103" s="10" t="inlineStr">
        <is>
          <t>MH-018</t>
        </is>
      </c>
      <c r="B103" s="10" t="n">
        <v>2</v>
      </c>
      <c r="C103" s="10" t="inlineStr">
        <is>
          <t>ACCION_ID</t>
        </is>
      </c>
      <c r="D103" s="10" t="inlineStr">
        <is>
          <t>A01</t>
        </is>
      </c>
      <c r="E103" s="10" t="inlineStr">
        <is>
          <t>Enviar minuta.</t>
        </is>
      </c>
      <c r="F103" s="12">
        <f>IF(D103="","",IFERROR(INDEX(kb_regla_recomendacion!$G$2:$G$200,MATCH(D103,kb_regla_recomendacion!$A$2:$A$200,0)),"Regla no existe"))</f>
        <v/>
      </c>
    </row>
    <row r="104">
      <c r="A104" s="10" t="inlineStr">
        <is>
          <t>MH-018</t>
        </is>
      </c>
      <c r="B104" s="10" t="n">
        <v>3</v>
      </c>
      <c r="C104" s="10" t="inlineStr">
        <is>
          <t>ACCION_ID</t>
        </is>
      </c>
      <c r="D104" s="10" t="inlineStr">
        <is>
          <t>A03</t>
        </is>
      </c>
      <c r="E104" s="10" t="inlineStr">
        <is>
          <t>Enviar cotización del Raspberry.</t>
        </is>
      </c>
      <c r="F104" s="12">
        <f>IF(D104="","",IFERROR(INDEX(kb_regla_recomendacion!$G$2:$G$200,MATCH(D104,kb_regla_recomendacion!$A$2:$A$200,0)),"Regla no existe"))</f>
        <v/>
      </c>
    </row>
    <row r="105">
      <c r="A105" s="10" t="inlineStr">
        <is>
          <t>MH-018</t>
        </is>
      </c>
      <c r="B105" s="10" t="n">
        <v>4</v>
      </c>
      <c r="C105" s="10" t="inlineStr">
        <is>
          <t>ACCION_CLIENTE</t>
        </is>
      </c>
      <c r="D105" s="10" t="inlineStr">
        <is>
          <t>A02</t>
        </is>
      </c>
      <c r="E105" s="10" t="inlineStr">
        <is>
          <t>Confirmar recepción de minuta.</t>
        </is>
      </c>
      <c r="F105" s="12">
        <f>IF(D105="","",IFERROR(INDEX(kb_regla_recomendacion!$G$2:$G$200,MATCH(D105,kb_regla_recomendacion!$A$2:$A$200,0)),"Regla no existe"))</f>
        <v/>
      </c>
    </row>
    <row r="106">
      <c r="A106" s="10" t="inlineStr">
        <is>
          <t>MH-018</t>
        </is>
      </c>
      <c r="B106" s="10" t="n">
        <v>5</v>
      </c>
      <c r="C106" s="10" t="inlineStr">
        <is>
          <t>ACCION_CLIENTE</t>
        </is>
      </c>
      <c r="D106" s="10" t="inlineStr">
        <is>
          <t>A11</t>
        </is>
      </c>
      <c r="E106" s="10" t="inlineStr">
        <is>
          <t>Confirmar la cotización del Raspberry.</t>
        </is>
      </c>
      <c r="F106" s="12">
        <f>IF(D106="","",IFERROR(INDEX(kb_regla_recomendacion!$G$2:$G$200,MATCH(D106,kb_regla_recomendacion!$A$2:$A$200,0)),"Regla no existe"))</f>
        <v/>
      </c>
    </row>
    <row r="107">
      <c r="A107" s="10" t="inlineStr">
        <is>
          <t>MH-018</t>
        </is>
      </c>
      <c r="B107" s="10" t="n">
        <v>6</v>
      </c>
      <c r="C107" s="10" t="inlineStr">
        <is>
          <t>ACCION_CLIENTE</t>
        </is>
      </c>
      <c r="D107" s="10" t="inlineStr">
        <is>
          <t>A08</t>
        </is>
      </c>
      <c r="E107" s="10" t="inlineStr">
        <is>
          <t>Confirmar fecha de inicio con IDPos.</t>
        </is>
      </c>
      <c r="F107" s="12">
        <f>IF(D107="","",IFERROR(INDEX(kb_regla_recomendacion!$G$2:$G$200,MATCH(D107,kb_regla_recomendacion!$A$2:$A$200,0)),"Regla no existe"))</f>
        <v/>
      </c>
    </row>
    <row r="108">
      <c r="A108" s="10" t="inlineStr">
        <is>
          <t>MH-019</t>
        </is>
      </c>
      <c r="B108" s="10" t="n">
        <v>1</v>
      </c>
      <c r="C108" s="10" t="inlineStr">
        <is>
          <t>RECOMENDACION</t>
        </is>
      </c>
      <c r="D108" s="10" t="inlineStr">
        <is>
          <t>R51</t>
        </is>
      </c>
      <c r="E108" s="10" t="inlineStr">
        <is>
          <t>Adquirir impresora térmica con conexión a red.</t>
        </is>
      </c>
      <c r="F108" s="12">
        <f>IF(D108="","",IFERROR(INDEX(kb_regla_recomendacion!$G$2:$G$200,MATCH(D108,kb_regla_recomendacion!$A$2:$A$200,0)),"Regla no existe"))</f>
        <v/>
      </c>
    </row>
    <row r="109">
      <c r="A109" s="10" t="inlineStr">
        <is>
          <t>MH-019</t>
        </is>
      </c>
      <c r="B109" s="10" t="n">
        <v>2</v>
      </c>
      <c r="C109" s="10" t="inlineStr">
        <is>
          <t>RECOMENDACION</t>
        </is>
      </c>
      <c r="D109" s="10" t="inlineStr">
        <is>
          <t>R02</t>
        </is>
      </c>
      <c r="E109" s="10" t="inlineStr">
        <is>
          <t>Adquirir un kit Raspberry que controla las impresiones de comandas, pre-cuentas y comprobantes.</t>
        </is>
      </c>
      <c r="F109" s="12">
        <f>IF(D109="","",IFERROR(INDEX(kb_regla_recomendacion!$G$2:$G$200,MATCH(D109,kb_regla_recomendacion!$A$2:$A$200,0)),"Regla no existe"))</f>
        <v/>
      </c>
    </row>
    <row r="110">
      <c r="A110" s="10" t="inlineStr">
        <is>
          <t>MH-019</t>
        </is>
      </c>
      <c r="B110" s="10" t="n">
        <v>3</v>
      </c>
      <c r="C110" s="10" t="inlineStr">
        <is>
          <t>RECOMENDACION</t>
        </is>
      </c>
      <c r="D110" s="10" t="inlineStr">
        <is>
          <t>R49</t>
        </is>
      </c>
      <c r="E110" s="10" t="inlineStr">
        <is>
          <t>Adquirir extensión de corriente.</t>
        </is>
      </c>
      <c r="F110" s="12">
        <f>IF(D110="","",IFERROR(INDEX(kb_regla_recomendacion!$G$2:$G$200,MATCH(D110,kb_regla_recomendacion!$A$2:$A$200,0)),"Regla no existe"))</f>
        <v/>
      </c>
    </row>
    <row r="111">
      <c r="A111" s="10" t="inlineStr">
        <is>
          <t>MH-019</t>
        </is>
      </c>
      <c r="B111" s="10" t="n">
        <v>4</v>
      </c>
      <c r="C111" s="10" t="inlineStr">
        <is>
          <t>RECOMENDACION</t>
        </is>
      </c>
      <c r="D111" s="10" t="inlineStr">
        <is>
          <t>R06</t>
        </is>
      </c>
      <c r="E111" s="10" t="inlineStr">
        <is>
          <t>Instalar canaletas para el cableado (12 m entre router y caja).</t>
        </is>
      </c>
      <c r="F111" s="12">
        <f>IF(D111="","",IFERROR(INDEX(kb_regla_recomendacion!$G$2:$G$200,MATCH(D111,kb_regla_recomendacion!$A$2:$A$200,0)),"Regla no existe"))</f>
        <v/>
      </c>
    </row>
    <row r="112">
      <c r="A112" s="10" t="inlineStr">
        <is>
          <t>MH-019</t>
        </is>
      </c>
      <c r="B112" s="10" t="n">
        <v>5</v>
      </c>
      <c r="C112" s="10" t="inlineStr">
        <is>
          <t>ACCION_CLIENTE</t>
        </is>
      </c>
      <c r="D112" s="10" t="inlineStr">
        <is>
          <t>A07</t>
        </is>
      </c>
      <c r="E112" s="10" t="inlineStr">
        <is>
          <t>Compartir serie de facturación, IGV, otros impuestos, datos del equipo y catálogo.</t>
        </is>
      </c>
      <c r="F112" s="12">
        <f>IF(D112="","",IFERROR(INDEX(kb_regla_recomendacion!$G$2:$G$200,MATCH(D112,kb_regla_recomendacion!$A$2:$A$200,0)),"Regla no existe"))</f>
        <v/>
      </c>
    </row>
    <row r="113">
      <c r="A113" s="10" t="inlineStr">
        <is>
          <t>MH-019</t>
        </is>
      </c>
      <c r="B113" s="10" t="n">
        <v>6</v>
      </c>
      <c r="C113" s="10" t="inlineStr">
        <is>
          <t>ACCION_ID</t>
        </is>
      </c>
      <c r="D113" s="10" t="inlineStr">
        <is>
          <t>A01</t>
        </is>
      </c>
      <c r="E113" s="10" t="inlineStr">
        <is>
          <t>Compartir minuta de visita técnica.</t>
        </is>
      </c>
      <c r="F113" s="12">
        <f>IF(D113="","",IFERROR(INDEX(kb_regla_recomendacion!$G$2:$G$200,MATCH(D113,kb_regla_recomendacion!$A$2:$A$200,0)),"Regla no existe"))</f>
        <v/>
      </c>
    </row>
    <row r="114">
      <c r="A114" s="10" t="inlineStr">
        <is>
          <t>MH-019</t>
        </is>
      </c>
      <c r="B114" s="10" t="n">
        <v>7</v>
      </c>
      <c r="C114" s="10" t="inlineStr">
        <is>
          <t>ACCION_ID</t>
        </is>
      </c>
      <c r="D114" s="10" t="inlineStr">
        <is>
          <t>A03</t>
        </is>
      </c>
      <c r="E114" s="10" t="inlineStr">
        <is>
          <t>Compartir cotización.</t>
        </is>
      </c>
      <c r="F114" s="12">
        <f>IF(D114="","",IFERROR(INDEX(kb_regla_recomendacion!$G$2:$G$200,MATCH(D114,kb_regla_recomendacion!$A$2:$A$200,0)),"Regla no existe"))</f>
        <v/>
      </c>
    </row>
    <row r="115">
      <c r="A115" s="10" t="inlineStr">
        <is>
          <t>MH-020</t>
        </is>
      </c>
      <c r="B115" s="10" t="n">
        <v>1</v>
      </c>
      <c r="C115" s="10" t="inlineStr">
        <is>
          <t>RECOMENDACION</t>
        </is>
      </c>
      <c r="D115" s="10" t="inlineStr">
        <is>
          <t>R64</t>
        </is>
      </c>
      <c r="E115" s="10" t="inlineStr">
        <is>
          <t>Reestructurar el cableado de red (no es impedimento de inicio).</t>
        </is>
      </c>
      <c r="F115" s="12">
        <f>IF(D115="","",IFERROR(INDEX(kb_regla_recomendacion!$G$2:$G$200,MATCH(D115,kb_regla_recomendacion!$A$2:$A$200,0)),"Regla no existe"))</f>
        <v/>
      </c>
    </row>
    <row r="116">
      <c r="A116" s="10" t="inlineStr">
        <is>
          <t>MH-020</t>
        </is>
      </c>
      <c r="B116" s="10" t="n">
        <v>2</v>
      </c>
      <c r="C116" s="10" t="inlineStr">
        <is>
          <t>ACCION_ID</t>
        </is>
      </c>
      <c r="D116" s="10" t="inlineStr">
        <is>
          <t>A01</t>
        </is>
      </c>
      <c r="E116" s="10" t="inlineStr">
        <is>
          <t>Enviar minuta.</t>
        </is>
      </c>
      <c r="F116" s="12">
        <f>IF(D116="","",IFERROR(INDEX(kb_regla_recomendacion!$G$2:$G$200,MATCH(D116,kb_regla_recomendacion!$A$2:$A$200,0)),"Regla no existe"))</f>
        <v/>
      </c>
    </row>
    <row r="117">
      <c r="A117" s="10" t="inlineStr">
        <is>
          <t>MH-020</t>
        </is>
      </c>
      <c r="B117" s="10" t="n">
        <v>3</v>
      </c>
      <c r="C117" s="10" t="inlineStr">
        <is>
          <t>ACCION_CLIENTE</t>
        </is>
      </c>
      <c r="D117" s="10" t="inlineStr">
        <is>
          <t>A02</t>
        </is>
      </c>
      <c r="E117" s="10" t="inlineStr">
        <is>
          <t>Confirmar recepción de minuta.</t>
        </is>
      </c>
      <c r="F117" s="12">
        <f>IF(D117="","",IFERROR(INDEX(kb_regla_recomendacion!$G$2:$G$200,MATCH(D117,kb_regla_recomendacion!$A$2:$A$200,0)),"Regla no existe"))</f>
        <v/>
      </c>
    </row>
    <row r="118">
      <c r="A118" s="10" t="inlineStr">
        <is>
          <t>MH-020</t>
        </is>
      </c>
      <c r="B118" s="10" t="n">
        <v>4</v>
      </c>
      <c r="C118" s="10" t="inlineStr">
        <is>
          <t>ACCION_CLIENTE</t>
        </is>
      </c>
      <c r="D118" s="10" t="inlineStr">
        <is>
          <t>A07</t>
        </is>
      </c>
      <c r="E118" s="10" t="inlineStr">
        <is>
          <t>Compartir la maestra de productos (carta).</t>
        </is>
      </c>
      <c r="F118" s="12">
        <f>IF(D118="","",IFERROR(INDEX(kb_regla_recomendacion!$G$2:$G$200,MATCH(D118,kb_regla_recomendacion!$A$2:$A$200,0)),"Regla no existe"))</f>
        <v/>
      </c>
    </row>
    <row r="119">
      <c r="A119" s="10" t="inlineStr">
        <is>
          <t>MH-021</t>
        </is>
      </c>
      <c r="B119" s="10" t="n">
        <v>1</v>
      </c>
      <c r="C119" s="10" t="inlineStr">
        <is>
          <t>ACCION_CLIENTE</t>
        </is>
      </c>
      <c r="D119" s="10" t="inlineStr">
        <is>
          <t>R06</t>
        </is>
      </c>
      <c r="E119" s="10" t="inlineStr">
        <is>
          <t>Habilitar puntos de red para barra y cocina.</t>
        </is>
      </c>
      <c r="F119" s="12">
        <f>IF(D119="","",IFERROR(INDEX(kb_regla_recomendacion!$G$2:$G$200,MATCH(D119,kb_regla_recomendacion!$A$2:$A$200,0)),"Regla no existe"))</f>
        <v/>
      </c>
    </row>
    <row r="120">
      <c r="A120" s="10" t="inlineStr">
        <is>
          <t>MH-021</t>
        </is>
      </c>
      <c r="B120" s="10" t="n">
        <v>2</v>
      </c>
      <c r="C120" s="10" t="inlineStr">
        <is>
          <t>ACCION_ID</t>
        </is>
      </c>
      <c r="D120" s="10" t="inlineStr">
        <is>
          <t>A01</t>
        </is>
      </c>
      <c r="E120" s="10" t="inlineStr">
        <is>
          <t>Enviar minuta.</t>
        </is>
      </c>
      <c r="F120" s="12">
        <f>IF(D120="","",IFERROR(INDEX(kb_regla_recomendacion!$G$2:$G$200,MATCH(D120,kb_regla_recomendacion!$A$2:$A$200,0)),"Regla no existe"))</f>
        <v/>
      </c>
    </row>
    <row r="121">
      <c r="A121" s="10" t="inlineStr">
        <is>
          <t>MH-021</t>
        </is>
      </c>
      <c r="B121" s="10" t="n">
        <v>3</v>
      </c>
      <c r="C121" s="10" t="inlineStr">
        <is>
          <t>ACCION_CLIENTE</t>
        </is>
      </c>
      <c r="D121" s="10" t="inlineStr">
        <is>
          <t>A02</t>
        </is>
      </c>
      <c r="E121" s="10" t="inlineStr">
        <is>
          <t>Confirmar recepción de minuta.</t>
        </is>
      </c>
      <c r="F121" s="12">
        <f>IF(D121="","",IFERROR(INDEX(kb_regla_recomendacion!$G$2:$G$200,MATCH(D121,kb_regla_recomendacion!$A$2:$A$200,0)),"Regla no existe"))</f>
        <v/>
      </c>
    </row>
    <row r="122">
      <c r="A122" s="10" t="inlineStr">
        <is>
          <t>MH-022</t>
        </is>
      </c>
      <c r="B122" s="10" t="n">
        <v>1</v>
      </c>
      <c r="C122" s="10" t="inlineStr">
        <is>
          <t>RECOMENDACION</t>
        </is>
      </c>
      <c r="D122" s="10" t="inlineStr">
        <is>
          <t>R60</t>
        </is>
      </c>
      <c r="E122" s="10" t="inlineStr">
        <is>
          <t>Viabilizar un Raspberry o usar la PC fija del DJ, porque la laptop no se queda en el local.</t>
        </is>
      </c>
      <c r="F122" s="12">
        <f>IF(D122="","",IFERROR(INDEX(kb_regla_recomendacion!$G$2:$G$200,MATCH(D122,kb_regla_recomendacion!$A$2:$A$200,0)),"Regla no existe"))</f>
        <v/>
      </c>
    </row>
    <row r="123">
      <c r="A123" s="10" t="inlineStr">
        <is>
          <t>MH-022</t>
        </is>
      </c>
      <c r="B123" s="10" t="n">
        <v>2</v>
      </c>
      <c r="C123" s="10" t="inlineStr">
        <is>
          <t>ACCION_ID</t>
        </is>
      </c>
      <c r="D123" s="10" t="inlineStr">
        <is>
          <t>A01</t>
        </is>
      </c>
      <c r="E123" s="10" t="inlineStr">
        <is>
          <t>Enviar minuta.</t>
        </is>
      </c>
      <c r="F123" s="12">
        <f>IF(D123="","",IFERROR(INDEX(kb_regla_recomendacion!$G$2:$G$200,MATCH(D123,kb_regla_recomendacion!$A$2:$A$200,0)),"Regla no existe"))</f>
        <v/>
      </c>
    </row>
    <row r="124">
      <c r="A124" s="10" t="inlineStr">
        <is>
          <t>MH-022</t>
        </is>
      </c>
      <c r="B124" s="10" t="n">
        <v>3</v>
      </c>
      <c r="C124" s="10" t="inlineStr">
        <is>
          <t>ACCION_CLIENTE</t>
        </is>
      </c>
      <c r="D124" s="10" t="inlineStr">
        <is>
          <t>A02</t>
        </is>
      </c>
      <c r="E124" s="10" t="inlineStr">
        <is>
          <t>Confirmar recepción de minuta.</t>
        </is>
      </c>
      <c r="F124" s="12">
        <f>IF(D124="","",IFERROR(INDEX(kb_regla_recomendacion!$G$2:$G$200,MATCH(D124,kb_regla_recomendacion!$A$2:$A$200,0)),"Regla no existe"))</f>
        <v/>
      </c>
    </row>
    <row r="125">
      <c r="A125" s="10" t="inlineStr">
        <is>
          <t>MH-023</t>
        </is>
      </c>
      <c r="B125" s="10" t="n">
        <v>1</v>
      </c>
      <c r="C125" s="10" t="inlineStr">
        <is>
          <t>ACCION_ID</t>
        </is>
      </c>
      <c r="D125" s="10" t="inlineStr">
        <is>
          <t>A01</t>
        </is>
      </c>
      <c r="E125" s="10" t="inlineStr">
        <is>
          <t>Enviar minuta.</t>
        </is>
      </c>
      <c r="F125" s="12">
        <f>IF(D125="","",IFERROR(INDEX(kb_regla_recomendacion!$G$2:$G$200,MATCH(D125,kb_regla_recomendacion!$A$2:$A$200,0)),"Regla no existe"))</f>
        <v/>
      </c>
    </row>
    <row r="126">
      <c r="A126" s="10" t="inlineStr">
        <is>
          <t>MH-023</t>
        </is>
      </c>
      <c r="B126" s="10" t="n">
        <v>2</v>
      </c>
      <c r="C126" s="10" t="inlineStr">
        <is>
          <t>ACCION_CLIENTE</t>
        </is>
      </c>
      <c r="D126" s="10" t="inlineStr">
        <is>
          <t>A08</t>
        </is>
      </c>
      <c r="E126" s="10" t="inlineStr">
        <is>
          <t>Confirmar fecha de inicio.</t>
        </is>
      </c>
      <c r="F126" s="12">
        <f>IF(D126="","",IFERROR(INDEX(kb_regla_recomendacion!$G$2:$G$200,MATCH(D126,kb_regla_recomendacion!$A$2:$A$200,0)),"Regla no existe"))</f>
        <v/>
      </c>
    </row>
    <row r="127">
      <c r="A127" s="10" t="inlineStr">
        <is>
          <t>MH-023</t>
        </is>
      </c>
      <c r="B127" s="10" t="n">
        <v>3</v>
      </c>
      <c r="C127" s="10" t="inlineStr">
        <is>
          <t>ACCION_CLIENTE</t>
        </is>
      </c>
      <c r="D127" s="10" t="inlineStr">
        <is>
          <t>A02</t>
        </is>
      </c>
      <c r="E127" s="10" t="inlineStr">
        <is>
          <t>Confirmar recepción de minuta.</t>
        </is>
      </c>
      <c r="F127" s="12">
        <f>IF(D127="","",IFERROR(INDEX(kb_regla_recomendacion!$G$2:$G$200,MATCH(D127,kb_regla_recomendacion!$A$2:$A$200,0)),"Regla no existe"))</f>
        <v/>
      </c>
    </row>
    <row r="128">
      <c r="A128" s="10" t="inlineStr">
        <is>
          <t>MH-024</t>
        </is>
      </c>
      <c r="B128" s="10" t="n">
        <v>1</v>
      </c>
      <c r="C128" s="10" t="inlineStr">
        <is>
          <t>RECOMENDACION</t>
        </is>
      </c>
      <c r="D128" s="10" t="inlineStr">
        <is>
          <t>R06</t>
        </is>
      </c>
      <c r="E128" s="10" t="inlineStr">
        <is>
          <t>Habilitar puntos de red.</t>
        </is>
      </c>
      <c r="F128" s="12">
        <f>IF(D128="","",IFERROR(INDEX(kb_regla_recomendacion!$G$2:$G$200,MATCH(D128,kb_regla_recomendacion!$A$2:$A$200,0)),"Regla no existe"))</f>
        <v/>
      </c>
    </row>
    <row r="129">
      <c r="A129" s="10" t="inlineStr">
        <is>
          <t>MH-024</t>
        </is>
      </c>
      <c r="B129" s="10" t="n">
        <v>2</v>
      </c>
      <c r="C129" s="10" t="inlineStr">
        <is>
          <t>RECOMENDACION</t>
        </is>
      </c>
      <c r="D129" s="10" t="inlineStr">
        <is>
          <t>R19</t>
        </is>
      </c>
      <c r="E129" s="10" t="inlineStr">
        <is>
          <t>Habilitar canaletas con extensión de corriente para conectar el TP-Link en el punto más alto del local.</t>
        </is>
      </c>
      <c r="F129" s="12">
        <f>IF(D129="","",IFERROR(INDEX(kb_regla_recomendacion!$G$2:$G$200,MATCH(D129,kb_regla_recomendacion!$A$2:$A$200,0)),"Regla no existe"))</f>
        <v/>
      </c>
    </row>
    <row r="130">
      <c r="A130" s="10" t="inlineStr">
        <is>
          <t>MH-024</t>
        </is>
      </c>
      <c r="B130" s="10" t="n">
        <v>3</v>
      </c>
      <c r="C130" s="10" t="inlineStr">
        <is>
          <t>ACCION_ID</t>
        </is>
      </c>
      <c r="D130" s="10" t="inlineStr">
        <is>
          <t>A01</t>
        </is>
      </c>
      <c r="E130" s="10" t="inlineStr">
        <is>
          <t>Compartir minuta.</t>
        </is>
      </c>
      <c r="F130" s="12">
        <f>IF(D130="","",IFERROR(INDEX(kb_regla_recomendacion!$G$2:$G$200,MATCH(D130,kb_regla_recomendacion!$A$2:$A$200,0)),"Regla no existe"))</f>
        <v/>
      </c>
    </row>
    <row r="131">
      <c r="A131" s="10" t="inlineStr">
        <is>
          <t>MH-024</t>
        </is>
      </c>
      <c r="B131" s="10" t="n">
        <v>4</v>
      </c>
      <c r="C131" s="10" t="inlineStr">
        <is>
          <t>ACCION_CLIENTE</t>
        </is>
      </c>
      <c r="D131" s="10" t="inlineStr">
        <is>
          <t>A02</t>
        </is>
      </c>
      <c r="E131" s="10" t="inlineStr">
        <is>
          <t>Confirmar recepción de minuta.</t>
        </is>
      </c>
      <c r="F131" s="12">
        <f>IF(D131="","",IFERROR(INDEX(kb_regla_recomendacion!$G$2:$G$200,MATCH(D131,kb_regla_recomendacion!$A$2:$A$200,0)),"Regla no existe"))</f>
        <v/>
      </c>
    </row>
    <row r="132">
      <c r="A132" s="10" t="inlineStr">
        <is>
          <t>MH-025</t>
        </is>
      </c>
      <c r="B132" s="10" t="n">
        <v>1</v>
      </c>
      <c r="C132" s="10" t="inlineStr">
        <is>
          <t>ACCION_ID</t>
        </is>
      </c>
      <c r="D132" s="10" t="inlineStr">
        <is>
          <t>A10</t>
        </is>
      </c>
      <c r="E132" s="10" t="inlineStr">
        <is>
          <t>Instalar los programas de impresión en la computadora de la sede.</t>
        </is>
      </c>
      <c r="F132" s="12">
        <f>IF(D132="","",IFERROR(INDEX(kb_regla_recomendacion!$G$2:$G$200,MATCH(D132,kb_regla_recomendacion!$A$2:$A$200,0)),"Regla no existe"))</f>
        <v/>
      </c>
    </row>
    <row r="133">
      <c r="A133" s="10" t="inlineStr">
        <is>
          <t>MH-026</t>
        </is>
      </c>
      <c r="B133" s="10" t="n">
        <v>1</v>
      </c>
      <c r="C133" s="10" t="inlineStr">
        <is>
          <t>ACCION_ID</t>
        </is>
      </c>
      <c r="D133" s="10" t="inlineStr">
        <is>
          <t>R37</t>
        </is>
      </c>
      <c r="E133" s="10" t="inlineStr">
        <is>
          <t>Visita técnica para cambiar la entrada del cable de red de la impresora de caja.</t>
        </is>
      </c>
      <c r="F133" s="12">
        <f>IF(D133="","",IFERROR(INDEX(kb_regla_recomendacion!$G$2:$G$200,MATCH(D133,kb_regla_recomendacion!$A$2:$A$200,0)),"Regla no existe"))</f>
        <v/>
      </c>
    </row>
    <row r="134">
      <c r="A134" s="10" t="inlineStr">
        <is>
          <t>MH-027</t>
        </is>
      </c>
      <c r="B134" s="10" t="n">
        <v>1</v>
      </c>
      <c r="C134" s="10" t="inlineStr">
        <is>
          <t>RECOMENDACION</t>
        </is>
      </c>
      <c r="D134" s="10" t="inlineStr">
        <is>
          <t>R06</t>
        </is>
      </c>
      <c r="E134" s="10" t="inlineStr">
        <is>
          <t>Habilitar punto de red para la pantalla de caja.</t>
        </is>
      </c>
      <c r="F134" s="12">
        <f>IF(D134="","",IFERROR(INDEX(kb_regla_recomendacion!$G$2:$G$200,MATCH(D134,kb_regla_recomendacion!$A$2:$A$200,0)),"Regla no existe"))</f>
        <v/>
      </c>
    </row>
    <row r="135">
      <c r="A135" s="10" t="inlineStr">
        <is>
          <t>MH-027</t>
        </is>
      </c>
      <c r="B135" s="10" t="n">
        <v>2</v>
      </c>
      <c r="C135" s="10" t="inlineStr">
        <is>
          <t>RECOMENDACION</t>
        </is>
      </c>
      <c r="D135" s="10" t="inlineStr">
        <is>
          <t>R06</t>
        </is>
      </c>
      <c r="E135" s="10" t="inlineStr">
        <is>
          <t>Habilitar punto de red para la impresora de cocina.</t>
        </is>
      </c>
      <c r="F135" s="12">
        <f>IF(D135="","",IFERROR(INDEX(kb_regla_recomendacion!$G$2:$G$200,MATCH(D135,kb_regla_recomendacion!$A$2:$A$200,0)),"Regla no existe"))</f>
        <v/>
      </c>
    </row>
    <row r="136">
      <c r="A136" s="10" t="inlineStr">
        <is>
          <t>MH-027</t>
        </is>
      </c>
      <c r="B136" s="10" t="n">
        <v>3</v>
      </c>
      <c r="C136" s="10" t="inlineStr">
        <is>
          <t>ACCION_ID</t>
        </is>
      </c>
      <c r="D136" s="10" t="inlineStr">
        <is>
          <t>A01</t>
        </is>
      </c>
      <c r="E136" s="10" t="inlineStr">
        <is>
          <t>Compartir minuta de visita técnica.</t>
        </is>
      </c>
      <c r="F136" s="12">
        <f>IF(D136="","",IFERROR(INDEX(kb_regla_recomendacion!$G$2:$G$200,MATCH(D136,kb_regla_recomendacion!$A$2:$A$200,0)),"Regla no existe"))</f>
        <v/>
      </c>
    </row>
    <row r="137">
      <c r="A137" s="10" t="inlineStr">
        <is>
          <t>MH-027</t>
        </is>
      </c>
      <c r="B137" s="10" t="n">
        <v>4</v>
      </c>
      <c r="C137" s="10" t="inlineStr">
        <is>
          <t>ACCION_ID</t>
        </is>
      </c>
      <c r="D137" s="10" t="inlineStr">
        <is>
          <t>A09</t>
        </is>
      </c>
      <c r="E137" s="10" t="inlineStr">
        <is>
          <t>Seguimiento a la instalación de puntos de red.</t>
        </is>
      </c>
      <c r="F137" s="12">
        <f>IF(D137="","",IFERROR(INDEX(kb_regla_recomendacion!$G$2:$G$200,MATCH(D137,kb_regla_recomendacion!$A$2:$A$200,0)),"Regla no existe"))</f>
        <v/>
      </c>
    </row>
    <row r="138">
      <c r="A138" s="10" t="inlineStr">
        <is>
          <t>MH-027</t>
        </is>
      </c>
      <c r="B138" s="10" t="n">
        <v>5</v>
      </c>
      <c r="C138" s="10" t="inlineStr">
        <is>
          <t>ACCION_CLIENTE</t>
        </is>
      </c>
      <c r="D138" s="10" t="inlineStr">
        <is>
          <t>A02</t>
        </is>
      </c>
      <c r="E138" s="10" t="inlineStr">
        <is>
          <t>Confirmar recepción de minuta.</t>
        </is>
      </c>
      <c r="F138" s="12">
        <f>IF(D138="","",IFERROR(INDEX(kb_regla_recomendacion!$G$2:$G$200,MATCH(D138,kb_regla_recomendacion!$A$2:$A$200,0)),"Regla no existe"))</f>
        <v/>
      </c>
    </row>
    <row r="139">
      <c r="A139" s="10" t="inlineStr">
        <is>
          <t>MH-027</t>
        </is>
      </c>
      <c r="B139" s="10" t="n">
        <v>6</v>
      </c>
      <c r="C139" s="10" t="inlineStr">
        <is>
          <t>ACCION_CLIENTE</t>
        </is>
      </c>
      <c r="D139" s="10" t="inlineStr">
        <is>
          <t>A07</t>
        </is>
      </c>
      <c r="E139" s="10" t="inlineStr">
        <is>
          <t>Compartir la carta y completar los formatos de información.</t>
        </is>
      </c>
      <c r="F139" s="12">
        <f>IF(D139="","",IFERROR(INDEX(kb_regla_recomendacion!$G$2:$G$200,MATCH(D139,kb_regla_recomendacion!$A$2:$A$200,0)),"Regla no existe"))</f>
        <v/>
      </c>
    </row>
    <row r="140">
      <c r="A140" s="10" t="inlineStr">
        <is>
          <t>MH-028</t>
        </is>
      </c>
      <c r="B140" s="10" t="n">
        <v>1</v>
      </c>
      <c r="C140" s="10" t="inlineStr">
        <is>
          <t>RECOMENDACION</t>
        </is>
      </c>
      <c r="D140" s="10" t="inlineStr">
        <is>
          <t>R51</t>
        </is>
      </c>
      <c r="E140" s="10" t="inlineStr">
        <is>
          <t>Adquirir impresora térmica con conexión a red.</t>
        </is>
      </c>
      <c r="F140" s="12">
        <f>IF(D140="","",IFERROR(INDEX(kb_regla_recomendacion!$G$2:$G$200,MATCH(D140,kb_regla_recomendacion!$A$2:$A$200,0)),"Regla no existe"))</f>
        <v/>
      </c>
    </row>
    <row r="141">
      <c r="A141" s="10" t="inlineStr">
        <is>
          <t>MH-028</t>
        </is>
      </c>
      <c r="B141" s="10" t="n">
        <v>2</v>
      </c>
      <c r="C141" s="10" t="inlineStr">
        <is>
          <t>RECOMENDACION</t>
        </is>
      </c>
      <c r="D141" s="10" t="inlineStr">
        <is>
          <t>R02</t>
        </is>
      </c>
      <c r="E141" s="10" t="inlineStr">
        <is>
          <t>Adquirir un kit Raspberry que controla las impresiones de comandas, pre-cuentas y comprobantes.</t>
        </is>
      </c>
      <c r="F141" s="12">
        <f>IF(D141="","",IFERROR(INDEX(kb_regla_recomendacion!$G$2:$G$200,MATCH(D141,kb_regla_recomendacion!$A$2:$A$200,0)),"Regla no existe"))</f>
        <v/>
      </c>
    </row>
    <row r="142">
      <c r="A142" s="10" t="inlineStr">
        <is>
          <t>MH-028</t>
        </is>
      </c>
      <c r="B142" s="10" t="n">
        <v>3</v>
      </c>
      <c r="C142" s="10" t="inlineStr">
        <is>
          <t>RECOMENDACION</t>
        </is>
      </c>
      <c r="D142" s="10" t="inlineStr">
        <is>
          <t>R56</t>
        </is>
      </c>
      <c r="E142" s="10" t="inlineStr">
        <is>
          <t>Adquirir un TP-Link + chip Entel.</t>
        </is>
      </c>
      <c r="F142" s="12">
        <f>IF(D142="","",IFERROR(INDEX(kb_regla_recomendacion!$G$2:$G$200,MATCH(D142,kb_regla_recomendacion!$A$2:$A$200,0)),"Regla no existe"))</f>
        <v/>
      </c>
    </row>
    <row r="143">
      <c r="A143" s="10" t="inlineStr">
        <is>
          <t>MH-028</t>
        </is>
      </c>
      <c r="B143" s="10" t="n">
        <v>4</v>
      </c>
      <c r="C143" s="10" t="inlineStr">
        <is>
          <t>RECOMENDACION</t>
        </is>
      </c>
      <c r="D143" s="10" t="inlineStr">
        <is>
          <t>R49</t>
        </is>
      </c>
      <c r="E143" s="10" t="inlineStr">
        <is>
          <t>Adquirir extensión de corriente.</t>
        </is>
      </c>
      <c r="F143" s="12">
        <f>IF(D143="","",IFERROR(INDEX(kb_regla_recomendacion!$G$2:$G$200,MATCH(D143,kb_regla_recomendacion!$A$2:$A$200,0)),"Regla no existe"))</f>
        <v/>
      </c>
    </row>
    <row r="144">
      <c r="A144" s="10" t="inlineStr">
        <is>
          <t>MH-028</t>
        </is>
      </c>
      <c r="B144" s="10" t="n">
        <v>5</v>
      </c>
      <c r="C144" s="10" t="inlineStr">
        <is>
          <t>ACCION_ID</t>
        </is>
      </c>
      <c r="D144" s="10" t="inlineStr">
        <is>
          <t>A01</t>
        </is>
      </c>
      <c r="E144" s="10" t="inlineStr">
        <is>
          <t>Compartir minuta de visita técnica.</t>
        </is>
      </c>
      <c r="F144" s="12">
        <f>IF(D144="","",IFERROR(INDEX(kb_regla_recomendacion!$G$2:$G$200,MATCH(D144,kb_regla_recomendacion!$A$2:$A$200,0)),"Regla no existe"))</f>
        <v/>
      </c>
    </row>
    <row r="145">
      <c r="A145" s="10" t="inlineStr">
        <is>
          <t>MH-028</t>
        </is>
      </c>
      <c r="B145" s="10" t="n">
        <v>6</v>
      </c>
      <c r="C145" s="10" t="inlineStr">
        <is>
          <t>ACCION_CLIENTE</t>
        </is>
      </c>
      <c r="D145" s="10" t="inlineStr">
        <is>
          <t>A02</t>
        </is>
      </c>
      <c r="E145" s="10" t="inlineStr">
        <is>
          <t>Confirmar recepción de minuta.</t>
        </is>
      </c>
      <c r="F145" s="12">
        <f>IF(D145="","",IFERROR(INDEX(kb_regla_recomendacion!$G$2:$G$200,MATCH(D145,kb_regla_recomendacion!$A$2:$A$200,0)),"Regla no existe"))</f>
        <v/>
      </c>
    </row>
    <row r="146">
      <c r="A146" s="10" t="inlineStr">
        <is>
          <t>MH-029</t>
        </is>
      </c>
      <c r="B146" s="10" t="n">
        <v>1</v>
      </c>
      <c r="C146" s="10" t="inlineStr">
        <is>
          <t>RECOMENDACION</t>
        </is>
      </c>
      <c r="D146" s="10" t="inlineStr">
        <is>
          <t>R30</t>
        </is>
      </c>
      <c r="E146" s="10" t="inlineStr">
        <is>
          <t>Etiquetar los cables de red que se instalarán.</t>
        </is>
      </c>
      <c r="F146" s="12">
        <f>IF(D146="","",IFERROR(INDEX(kb_regla_recomendacion!$G$2:$G$200,MATCH(D146,kb_regla_recomendacion!$A$2:$A$200,0)),"Regla no existe"))</f>
        <v/>
      </c>
    </row>
    <row r="147">
      <c r="A147" s="10" t="inlineStr">
        <is>
          <t>MH-029</t>
        </is>
      </c>
      <c r="B147" s="10" t="n">
        <v>2</v>
      </c>
      <c r="C147" s="10" t="inlineStr">
        <is>
          <t>RECOMENDACION</t>
        </is>
      </c>
      <c r="D147" s="10" t="inlineStr">
        <is>
          <t>R58</t>
        </is>
      </c>
      <c r="E147" s="10" t="inlineStr">
        <is>
          <t>Adquirir un switch de 1000 Mbps.</t>
        </is>
      </c>
      <c r="F147" s="12">
        <f>IF(D147="","",IFERROR(INDEX(kb_regla_recomendacion!$G$2:$G$200,MATCH(D147,kb_regla_recomendacion!$A$2:$A$200,0)),"Regla no existe"))</f>
        <v/>
      </c>
    </row>
    <row r="148">
      <c r="A148" s="10" t="inlineStr">
        <is>
          <t>MH-029</t>
        </is>
      </c>
      <c r="B148" s="10" t="n">
        <v>3</v>
      </c>
      <c r="C148" s="10" t="inlineStr">
        <is>
          <t>ACCION_ID</t>
        </is>
      </c>
      <c r="D148" s="10" t="inlineStr">
        <is>
          <t>A01</t>
        </is>
      </c>
      <c r="E148" s="10" t="inlineStr">
        <is>
          <t>Realizar envío de minuta.</t>
        </is>
      </c>
      <c r="F148" s="12">
        <f>IF(D148="","",IFERROR(INDEX(kb_regla_recomendacion!$G$2:$G$200,MATCH(D148,kb_regla_recomendacion!$A$2:$A$200,0)),"Regla no existe"))</f>
        <v/>
      </c>
    </row>
    <row r="149">
      <c r="A149" s="10" t="inlineStr">
        <is>
          <t>MH-029</t>
        </is>
      </c>
      <c r="B149" s="10" t="n">
        <v>4</v>
      </c>
      <c r="C149" s="10" t="inlineStr">
        <is>
          <t>ACCION_ID</t>
        </is>
      </c>
      <c r="D149" s="10" t="inlineStr">
        <is>
          <t>A10</t>
        </is>
      </c>
      <c r="E149" s="10" t="inlineStr">
        <is>
          <t>Configurar Raspberry.</t>
        </is>
      </c>
      <c r="F149" s="12">
        <f>IF(D149="","",IFERROR(INDEX(kb_regla_recomendacion!$G$2:$G$200,MATCH(D149,kb_regla_recomendacion!$A$2:$A$200,0)),"Regla no existe"))</f>
        <v/>
      </c>
    </row>
    <row r="150">
      <c r="A150" s="10" t="inlineStr">
        <is>
          <t>MH-029</t>
        </is>
      </c>
      <c r="B150" s="10" t="n">
        <v>5</v>
      </c>
      <c r="C150" s="10" t="inlineStr">
        <is>
          <t>ACCION_CLIENTE</t>
        </is>
      </c>
      <c r="D150" s="10" t="inlineStr">
        <is>
          <t>A02</t>
        </is>
      </c>
      <c r="E150" s="10" t="inlineStr">
        <is>
          <t>Confirmar recepción de minuta.</t>
        </is>
      </c>
      <c r="F150" s="12">
        <f>IF(D150="","",IFERROR(INDEX(kb_regla_recomendacion!$G$2:$G$200,MATCH(D150,kb_regla_recomendacion!$A$2:$A$200,0)),"Regla no existe"))</f>
        <v/>
      </c>
    </row>
    <row r="151">
      <c r="A151" s="10" t="inlineStr">
        <is>
          <t>MH-030</t>
        </is>
      </c>
      <c r="B151" s="10" t="n">
        <v>1</v>
      </c>
      <c r="C151" s="10" t="inlineStr">
        <is>
          <t>ACCION_ID</t>
        </is>
      </c>
      <c r="D151" s="10" t="inlineStr">
        <is>
          <t>A01</t>
        </is>
      </c>
      <c r="E151" s="10" t="inlineStr">
        <is>
          <t>Compartir minuta de visita técnica y recomendaciones.</t>
        </is>
      </c>
      <c r="F151" s="12">
        <f>IF(D151="","",IFERROR(INDEX(kb_regla_recomendacion!$G$2:$G$200,MATCH(D151,kb_regla_recomendacion!$A$2:$A$200,0)),"Regla no existe"))</f>
        <v/>
      </c>
    </row>
    <row r="152">
      <c r="A152" s="10" t="inlineStr">
        <is>
          <t>MH-030</t>
        </is>
      </c>
      <c r="B152" s="10" t="n">
        <v>2</v>
      </c>
      <c r="C152" s="10" t="inlineStr">
        <is>
          <t>ACCION_CLIENTE</t>
        </is>
      </c>
      <c r="D152" s="10" t="inlineStr">
        <is>
          <t>A02</t>
        </is>
      </c>
      <c r="E152" s="10" t="inlineStr">
        <is>
          <t>Confirmar recepción de minuta.</t>
        </is>
      </c>
      <c r="F152" s="12">
        <f>IF(D152="","",IFERROR(INDEX(kb_regla_recomendacion!$G$2:$G$200,MATCH(D152,kb_regla_recomendacion!$A$2:$A$200,0)),"Regla no existe"))</f>
        <v/>
      </c>
    </row>
    <row r="153">
      <c r="A153" s="10" t="inlineStr">
        <is>
          <t>MH-031</t>
        </is>
      </c>
      <c r="B153" s="10" t="n">
        <v>1</v>
      </c>
      <c r="C153" s="10" t="inlineStr">
        <is>
          <t>ACCION_ID</t>
        </is>
      </c>
      <c r="D153" s="10" t="inlineStr">
        <is>
          <t>A01</t>
        </is>
      </c>
      <c r="E153" s="10" t="inlineStr">
        <is>
          <t>Compartir minuta y recomendaciones técnicas.</t>
        </is>
      </c>
      <c r="F153" s="12">
        <f>IF(D153="","",IFERROR(INDEX(kb_regla_recomendacion!$G$2:$G$200,MATCH(D153,kb_regla_recomendacion!$A$2:$A$200,0)),"Regla no existe"))</f>
        <v/>
      </c>
    </row>
    <row r="154">
      <c r="A154" s="10" t="inlineStr">
        <is>
          <t>MH-031</t>
        </is>
      </c>
      <c r="B154" s="10" t="n">
        <v>2</v>
      </c>
      <c r="C154" s="10" t="inlineStr">
        <is>
          <t>ACCION_CLIENTE</t>
        </is>
      </c>
      <c r="D154" s="10" t="inlineStr">
        <is>
          <t>A02</t>
        </is>
      </c>
      <c r="E154" s="10" t="inlineStr">
        <is>
          <t>Confirmar recepción de minuta.</t>
        </is>
      </c>
      <c r="F154" s="12">
        <f>IF(D154="","",IFERROR(INDEX(kb_regla_recomendacion!$G$2:$G$200,MATCH(D154,kb_regla_recomendacion!$A$2:$A$200,0)),"Regla no existe"))</f>
        <v/>
      </c>
    </row>
    <row r="155">
      <c r="A155" s="10" t="inlineStr">
        <is>
          <t>MH-032</t>
        </is>
      </c>
      <c r="B155" s="10" t="n">
        <v>1</v>
      </c>
      <c r="C155" s="10" t="inlineStr">
        <is>
          <t>ACCION_ID</t>
        </is>
      </c>
      <c r="D155" s="10" t="inlineStr">
        <is>
          <t>A01</t>
        </is>
      </c>
      <c r="E155" s="10" t="inlineStr">
        <is>
          <t>Compartir minuta y recomendaciones técnicas.</t>
        </is>
      </c>
      <c r="F155" s="12">
        <f>IF(D155="","",IFERROR(INDEX(kb_regla_recomendacion!$G$2:$G$200,MATCH(D155,kb_regla_recomendacion!$A$2:$A$200,0)),"Regla no existe"))</f>
        <v/>
      </c>
    </row>
    <row r="156">
      <c r="A156" s="10" t="inlineStr">
        <is>
          <t>MH-032</t>
        </is>
      </c>
      <c r="B156" s="10" t="n">
        <v>2</v>
      </c>
      <c r="C156" s="10" t="inlineStr">
        <is>
          <t>ACCION_CLIENTE</t>
        </is>
      </c>
      <c r="D156" s="10" t="inlineStr">
        <is>
          <t>A02</t>
        </is>
      </c>
      <c r="E156" s="10" t="inlineStr">
        <is>
          <t>Confirmar recepción de minuta.</t>
        </is>
      </c>
      <c r="F156" s="12">
        <f>IF(D156="","",IFERROR(INDEX(kb_regla_recomendacion!$G$2:$G$200,MATCH(D156,kb_regla_recomendacion!$A$2:$A$200,0)),"Regla no existe"))</f>
        <v/>
      </c>
    </row>
    <row r="157">
      <c r="A157" s="10" t="inlineStr">
        <is>
          <t>MH-033</t>
        </is>
      </c>
      <c r="B157" s="10" t="n">
        <v>1</v>
      </c>
      <c r="C157" s="10" t="inlineStr">
        <is>
          <t>RECOMENDACION</t>
        </is>
      </c>
      <c r="D157" s="10" t="inlineStr">
        <is>
          <t>R62</t>
        </is>
      </c>
      <c r="E157" s="10" t="inlineStr">
        <is>
          <t>Canaletear el cable de red de las cámaras lejos de los cables de corriente y de los equipos con motor (por tubo desde el techo o por el piso).</t>
        </is>
      </c>
      <c r="F157" s="12">
        <f>IF(D157="","",IFERROR(INDEX(kb_regla_recomendacion!$G$2:$G$200,MATCH(D157,kb_regla_recomendacion!$A$2:$A$200,0)),"Regla no existe"))</f>
        <v/>
      </c>
    </row>
    <row r="158">
      <c r="A158" s="10" t="inlineStr">
        <is>
          <t>MH-033</t>
        </is>
      </c>
      <c r="B158" s="10" t="n">
        <v>2</v>
      </c>
      <c r="C158" s="10" t="inlineStr">
        <is>
          <t>ACCION_ID</t>
        </is>
      </c>
      <c r="D158" s="10" t="inlineStr">
        <is>
          <t>R26</t>
        </is>
      </c>
      <c r="E158" s="10" t="inlineStr">
        <is>
          <t>Segunda visita técnica y mantenimiento del Raspberry.</t>
        </is>
      </c>
      <c r="F158" s="12">
        <f>IF(D158="","",IFERROR(INDEX(kb_regla_recomendacion!$G$2:$G$200,MATCH(D158,kb_regla_recomendacion!$A$2:$A$200,0)),"Regla no existe"))</f>
        <v/>
      </c>
    </row>
    <row r="159">
      <c r="A159" s="10" t="inlineStr">
        <is>
          <t>MH-033</t>
        </is>
      </c>
      <c r="B159" s="10" t="n">
        <v>3</v>
      </c>
      <c r="C159" s="10" t="inlineStr">
        <is>
          <t>ACCION_CLIENTE</t>
        </is>
      </c>
      <c r="D159" s="10" t="inlineStr">
        <is>
          <t>A02</t>
        </is>
      </c>
      <c r="E159" s="10" t="inlineStr">
        <is>
          <t>Confirmar recepción de minuta y evaluar recomendaciones.</t>
        </is>
      </c>
      <c r="F159" s="12">
        <f>IF(D159="","",IFERROR(INDEX(kb_regla_recomendacion!$G$2:$G$200,MATCH(D159,kb_regla_recomendacion!$A$2:$A$200,0)),"Regla no existe"))</f>
        <v/>
      </c>
    </row>
    <row r="160">
      <c r="A160" s="10" t="inlineStr">
        <is>
          <t>MH-034</t>
        </is>
      </c>
      <c r="B160" s="10" t="n">
        <v>1</v>
      </c>
      <c r="C160" s="10" t="inlineStr">
        <is>
          <t>RECOMENDACION</t>
        </is>
      </c>
      <c r="D160" s="10" t="inlineStr">
        <is>
          <t>R06</t>
        </is>
      </c>
      <c r="E160" s="10" t="inlineStr">
        <is>
          <t>Contar con puntos de red en la barra principal para conectar la impresora térmica.</t>
        </is>
      </c>
      <c r="F160" s="12">
        <f>IF(D160="","",IFERROR(INDEX(kb_regla_recomendacion!$G$2:$G$200,MATCH(D160,kb_regla_recomendacion!$A$2:$A$200,0)),"Regla no existe"))</f>
        <v/>
      </c>
    </row>
    <row r="161">
      <c r="A161" s="10" t="inlineStr">
        <is>
          <t>MH-034</t>
        </is>
      </c>
      <c r="B161" s="10" t="n">
        <v>2</v>
      </c>
      <c r="C161" s="10" t="inlineStr">
        <is>
          <t>ACCION_CLIENTE</t>
        </is>
      </c>
      <c r="D161" s="10" t="inlineStr">
        <is>
          <t>A11</t>
        </is>
      </c>
      <c r="E161" s="10" t="inlineStr">
        <is>
          <t>Solicitar cotización de una impresora térmica.</t>
        </is>
      </c>
      <c r="F161" s="12">
        <f>IF(D161="","",IFERROR(INDEX(kb_regla_recomendacion!$G$2:$G$200,MATCH(D161,kb_regla_recomendacion!$A$2:$A$200,0)),"Regla no existe"))</f>
        <v/>
      </c>
    </row>
    <row r="162">
      <c r="A162" s="10" t="inlineStr">
        <is>
          <t>MH-034</t>
        </is>
      </c>
      <c r="B162" s="10" t="n">
        <v>3</v>
      </c>
      <c r="C162" s="10" t="inlineStr">
        <is>
          <t>ACCION_ID</t>
        </is>
      </c>
      <c r="D162" s="10" t="inlineStr">
        <is>
          <t>A01</t>
        </is>
      </c>
      <c r="E162" s="10" t="inlineStr">
        <is>
          <t>Compartir minuta de visita técnica.</t>
        </is>
      </c>
      <c r="F162" s="12">
        <f>IF(D162="","",IFERROR(INDEX(kb_regla_recomendacion!$G$2:$G$200,MATCH(D162,kb_regla_recomendacion!$A$2:$A$200,0)),"Regla no existe"))</f>
        <v/>
      </c>
    </row>
    <row r="163">
      <c r="A163" s="10" t="inlineStr">
        <is>
          <t>MH-034</t>
        </is>
      </c>
      <c r="B163" s="10" t="n">
        <v>4</v>
      </c>
      <c r="C163" s="10" t="inlineStr">
        <is>
          <t>ACCION_CLIENTE</t>
        </is>
      </c>
      <c r="D163" s="10" t="inlineStr">
        <is>
          <t>A02</t>
        </is>
      </c>
      <c r="E163" s="10" t="inlineStr">
        <is>
          <t>Confirmar recepción de minuta.</t>
        </is>
      </c>
      <c r="F163" s="12">
        <f>IF(D163="","",IFERROR(INDEX(kb_regla_recomendacion!$G$2:$G$200,MATCH(D163,kb_regla_recomendacion!$A$2:$A$200,0)),"Regla no existe"))</f>
        <v/>
      </c>
    </row>
    <row r="164">
      <c r="A164" s="10" t="inlineStr">
        <is>
          <t>MH-035</t>
        </is>
      </c>
      <c r="B164" s="10" t="n">
        <v>1</v>
      </c>
      <c r="C164" s="10" t="inlineStr">
        <is>
          <t>ACCION_ID</t>
        </is>
      </c>
      <c r="D164" s="10" t="inlineStr">
        <is>
          <t>A01</t>
        </is>
      </c>
      <c r="E164" s="10" t="inlineStr">
        <is>
          <t>Compartir minuta de visita técnica y recomendaciones.</t>
        </is>
      </c>
      <c r="F164" s="12">
        <f>IF(D164="","",IFERROR(INDEX(kb_regla_recomendacion!$G$2:$G$200,MATCH(D164,kb_regla_recomendacion!$A$2:$A$200,0)),"Regla no existe"))</f>
        <v/>
      </c>
    </row>
    <row r="165">
      <c r="A165" s="10" t="inlineStr">
        <is>
          <t>MH-035</t>
        </is>
      </c>
      <c r="B165" s="10" t="n">
        <v>2</v>
      </c>
      <c r="C165" s="10" t="inlineStr">
        <is>
          <t>ACCION_CLIENTE</t>
        </is>
      </c>
      <c r="D165" s="10" t="inlineStr">
        <is>
          <t>A02</t>
        </is>
      </c>
      <c r="E165" s="10" t="inlineStr">
        <is>
          <t>Confirmar recepción de minuta.</t>
        </is>
      </c>
      <c r="F165" s="12">
        <f>IF(D165="","",IFERROR(INDEX(kb_regla_recomendacion!$G$2:$G$200,MATCH(D165,kb_regla_recomendacion!$A$2:$A$200,0)),"Regla no existe"))</f>
        <v/>
      </c>
    </row>
    <row r="166">
      <c r="A166" s="10" t="inlineStr">
        <is>
          <t>MH-036</t>
        </is>
      </c>
      <c r="B166" s="10" t="n">
        <v>1</v>
      </c>
      <c r="C166" s="10" t="inlineStr">
        <is>
          <t>RECOMENDACION</t>
        </is>
      </c>
      <c r="D166" s="10" t="inlineStr">
        <is>
          <t>R58</t>
        </is>
      </c>
      <c r="E166" s="10" t="inlineStr">
        <is>
          <t>Cambiar el switch TP-Link de 8 puertos de 10/100 Mbps por uno de 10/100/1000 Mbps.</t>
        </is>
      </c>
      <c r="F166" s="12">
        <f>IF(D166="","",IFERROR(INDEX(kb_regla_recomendacion!$G$2:$G$200,MATCH(D166,kb_regla_recomendacion!$A$2:$A$200,0)),"Regla no existe"))</f>
        <v/>
      </c>
    </row>
    <row r="167">
      <c r="A167" s="10" t="inlineStr">
        <is>
          <t>MH-036</t>
        </is>
      </c>
      <c r="B167" s="10" t="n">
        <v>2</v>
      </c>
      <c r="C167" s="10" t="inlineStr">
        <is>
          <t>RECOMENDACION</t>
        </is>
      </c>
      <c r="D167" s="10" t="inlineStr">
        <is>
          <t>R59</t>
        </is>
      </c>
      <c r="E167" s="10" t="inlineStr">
        <is>
          <t>Ponchar el cable de caja con la norma B (router → switch → impresora).</t>
        </is>
      </c>
      <c r="F167" s="12">
        <f>IF(D167="","",IFERROR(INDEX(kb_regla_recomendacion!$G$2:$G$200,MATCH(D167,kb_regla_recomendacion!$A$2:$A$200,0)),"Regla no existe"))</f>
        <v/>
      </c>
    </row>
    <row r="168">
      <c r="A168" s="10" t="inlineStr">
        <is>
          <t>MH-036</t>
        </is>
      </c>
      <c r="B168" s="10" t="n">
        <v>3</v>
      </c>
      <c r="C168" s="10" t="inlineStr">
        <is>
          <t>RECOMENDACION</t>
        </is>
      </c>
      <c r="D168" s="10" t="inlineStr">
        <is>
          <t>R37</t>
        </is>
      </c>
      <c r="E168" s="10" t="inlineStr">
        <is>
          <t>Cambiar el conector RJ45 del cable de la impresora de makis.</t>
        </is>
      </c>
      <c r="F168" s="12">
        <f>IF(D168="","",IFERROR(INDEX(kb_regla_recomendacion!$G$2:$G$200,MATCH(D168,kb_regla_recomendacion!$A$2:$A$200,0)),"Regla no existe"))</f>
        <v/>
      </c>
    </row>
    <row r="169">
      <c r="A169" s="10" t="inlineStr">
        <is>
          <t>MH-036</t>
        </is>
      </c>
      <c r="B169" s="10" t="n">
        <v>4</v>
      </c>
      <c r="C169" s="10" t="inlineStr">
        <is>
          <t>ACCION_ID</t>
        </is>
      </c>
      <c r="D169" s="10" t="inlineStr">
        <is>
          <t>A01</t>
        </is>
      </c>
      <c r="E169" s="10" t="inlineStr">
        <is>
          <t>Compartir minuta de visita técnica y recomendaciones.</t>
        </is>
      </c>
      <c r="F169" s="12">
        <f>IF(D169="","",IFERROR(INDEX(kb_regla_recomendacion!$G$2:$G$200,MATCH(D169,kb_regla_recomendacion!$A$2:$A$200,0)),"Regla no existe"))</f>
        <v/>
      </c>
    </row>
    <row r="170">
      <c r="A170" s="10" t="inlineStr">
        <is>
          <t>MH-036</t>
        </is>
      </c>
      <c r="B170" s="10" t="n">
        <v>5</v>
      </c>
      <c r="C170" s="10" t="inlineStr">
        <is>
          <t>ACCION_CLIENTE</t>
        </is>
      </c>
      <c r="D170" s="10" t="inlineStr">
        <is>
          <t>A02</t>
        </is>
      </c>
      <c r="E170" s="10" t="inlineStr">
        <is>
          <t>Confirmar recepción de minuta.</t>
        </is>
      </c>
      <c r="F170" s="12">
        <f>IF(D170="","",IFERROR(INDEX(kb_regla_recomendacion!$G$2:$G$200,MATCH(D170,kb_regla_recomendacion!$A$2:$A$200,0)),"Regla no existe"))</f>
        <v/>
      </c>
    </row>
    <row r="171">
      <c r="A171" s="10" t="inlineStr">
        <is>
          <t>MH-037</t>
        </is>
      </c>
      <c r="B171" s="10" t="n">
        <v>1</v>
      </c>
      <c r="C171" s="10" t="inlineStr">
        <is>
          <t>ACCION_ID</t>
        </is>
      </c>
      <c r="D171" s="10" t="inlineStr">
        <is>
          <t>A01</t>
        </is>
      </c>
      <c r="E171" s="10" t="inlineStr">
        <is>
          <t>Compartir minuta y recomendaciones técnicas.</t>
        </is>
      </c>
      <c r="F171" s="12">
        <f>IF(D171="","",IFERROR(INDEX(kb_regla_recomendacion!$G$2:$G$200,MATCH(D171,kb_regla_recomendacion!$A$2:$A$200,0)),"Regla no existe"))</f>
        <v/>
      </c>
    </row>
    <row r="172">
      <c r="A172" s="10" t="inlineStr">
        <is>
          <t>MH-037</t>
        </is>
      </c>
      <c r="B172" s="10" t="n">
        <v>2</v>
      </c>
      <c r="C172" s="10" t="inlineStr">
        <is>
          <t>ACCION_CLIENTE</t>
        </is>
      </c>
      <c r="D172" s="10" t="inlineStr">
        <is>
          <t>A02</t>
        </is>
      </c>
      <c r="E172" s="10" t="inlineStr">
        <is>
          <t>Confirmar recepción de minuta.</t>
        </is>
      </c>
      <c r="F172" s="12">
        <f>IF(D172="","",IFERROR(INDEX(kb_regla_recomendacion!$G$2:$G$200,MATCH(D172,kb_regla_recomendacion!$A$2:$A$200,0)),"Regla no existe"))</f>
        <v/>
      </c>
    </row>
    <row r="173">
      <c r="A173" s="10" t="inlineStr">
        <is>
          <t>MH-038</t>
        </is>
      </c>
      <c r="B173" s="10" t="n">
        <v>1</v>
      </c>
      <c r="C173" s="10" t="inlineStr">
        <is>
          <t>RECOMENDACION</t>
        </is>
      </c>
      <c r="D173" s="10" t="inlineStr">
        <is>
          <t>R37</t>
        </is>
      </c>
      <c r="E173" s="10" t="inlineStr">
        <is>
          <t>Cambiar el conector RJ45 de la impresora de frituras.</t>
        </is>
      </c>
      <c r="F173" s="12">
        <f>IF(D173="","",IFERROR(INDEX(kb_regla_recomendacion!$G$2:$G$200,MATCH(D173,kb_regla_recomendacion!$A$2:$A$200,0)),"Regla no existe"))</f>
        <v/>
      </c>
    </row>
    <row r="174">
      <c r="A174" s="10" t="inlineStr">
        <is>
          <t>MH-038</t>
        </is>
      </c>
      <c r="B174" s="10" t="n">
        <v>2</v>
      </c>
      <c r="C174" s="10" t="inlineStr">
        <is>
          <t>ACCION_ID</t>
        </is>
      </c>
      <c r="D174" s="10" t="inlineStr">
        <is>
          <t>A01</t>
        </is>
      </c>
      <c r="E174" s="10" t="inlineStr">
        <is>
          <t>Compartir minuta y recomendaciones técnicas.</t>
        </is>
      </c>
      <c r="F174" s="12">
        <f>IF(D174="","",IFERROR(INDEX(kb_regla_recomendacion!$G$2:$G$200,MATCH(D174,kb_regla_recomendacion!$A$2:$A$200,0)),"Regla no existe"))</f>
        <v/>
      </c>
    </row>
    <row r="175">
      <c r="A175" s="10" t="inlineStr">
        <is>
          <t>MH-038</t>
        </is>
      </c>
      <c r="B175" s="10" t="n">
        <v>3</v>
      </c>
      <c r="C175" s="10" t="inlineStr">
        <is>
          <t>ACCION_CLIENTE</t>
        </is>
      </c>
      <c r="D175" s="10" t="inlineStr">
        <is>
          <t>A02</t>
        </is>
      </c>
      <c r="E175" s="10" t="inlineStr">
        <is>
          <t>Confirmar recepción de minuta.</t>
        </is>
      </c>
      <c r="F175" s="12">
        <f>IF(D175="","",IFERROR(INDEX(kb_regla_recomendacion!$G$2:$G$200,MATCH(D175,kb_regla_recomendacion!$A$2:$A$200,0)),"Regla no existe"))</f>
        <v/>
      </c>
    </row>
    <row r="176">
      <c r="A176" s="10" t="inlineStr">
        <is>
          <t>MH-039</t>
        </is>
      </c>
      <c r="B176" s="10" t="n">
        <v>1</v>
      </c>
      <c r="C176" s="10" t="inlineStr">
        <is>
          <t>ACCION_ID</t>
        </is>
      </c>
      <c r="D176" s="10" t="inlineStr">
        <is>
          <t>A01</t>
        </is>
      </c>
      <c r="E176" s="10" t="inlineStr">
        <is>
          <t>Enviar minuta.</t>
        </is>
      </c>
      <c r="F176" s="12">
        <f>IF(D176="","",IFERROR(INDEX(kb_regla_recomendacion!$G$2:$G$200,MATCH(D176,kb_regla_recomendacion!$A$2:$A$200,0)),"Regla no existe"))</f>
        <v/>
      </c>
    </row>
    <row r="177">
      <c r="A177" s="10" t="inlineStr">
        <is>
          <t>MH-039</t>
        </is>
      </c>
      <c r="B177" s="10" t="n">
        <v>2</v>
      </c>
      <c r="C177" s="10" t="inlineStr">
        <is>
          <t>ACCION_CLIENTE</t>
        </is>
      </c>
      <c r="D177" s="10" t="inlineStr">
        <is>
          <t>A02</t>
        </is>
      </c>
      <c r="E177" s="10" t="inlineStr">
        <is>
          <t>Confirmar recepción de minuta.</t>
        </is>
      </c>
      <c r="F177" s="12">
        <f>IF(D177="","",IFERROR(INDEX(kb_regla_recomendacion!$G$2:$G$200,MATCH(D177,kb_regla_recomendacion!$A$2:$A$200,0)),"Regla no existe"))</f>
        <v/>
      </c>
    </row>
    <row r="178">
      <c r="A178" s="10" t="inlineStr">
        <is>
          <t>MH-040</t>
        </is>
      </c>
      <c r="B178" s="10" t="n">
        <v>1</v>
      </c>
      <c r="C178" s="10" t="inlineStr">
        <is>
          <t>RECOMENDACION</t>
        </is>
      </c>
      <c r="D178" s="10" t="inlineStr">
        <is>
          <t>R06</t>
        </is>
      </c>
      <c r="E178" s="10" t="inlineStr">
        <is>
          <t>Hacer un agujero en la esquina superior hacia la cocina para pasar el cable de red a la impresora, con canaletas para evitar cables sueltos.</t>
        </is>
      </c>
      <c r="F178" s="12">
        <f>IF(D178="","",IFERROR(INDEX(kb_regla_recomendacion!$G$2:$G$200,MATCH(D178,kb_regla_recomendacion!$A$2:$A$200,0)),"Regla no existe"))</f>
        <v/>
      </c>
    </row>
    <row r="179">
      <c r="A179" s="10" t="inlineStr">
        <is>
          <t>MH-040</t>
        </is>
      </c>
      <c r="B179" s="10" t="n">
        <v>2</v>
      </c>
      <c r="C179" s="10" t="inlineStr">
        <is>
          <t>RECOMENDACION</t>
        </is>
      </c>
      <c r="D179" s="10" t="inlineStr">
        <is>
          <t>R02</t>
        </is>
      </c>
      <c r="E179" s="10" t="inlineStr">
        <is>
          <t>Adquirir un kit Raspberry que controla las impresiones de comandas, pre-cuentas y comprobantes.</t>
        </is>
      </c>
      <c r="F179" s="12">
        <f>IF(D179="","",IFERROR(INDEX(kb_regla_recomendacion!$G$2:$G$200,MATCH(D179,kb_regla_recomendacion!$A$2:$A$200,0)),"Regla no existe"))</f>
        <v/>
      </c>
    </row>
    <row r="180">
      <c r="A180" s="10" t="inlineStr">
        <is>
          <t>MH-040</t>
        </is>
      </c>
      <c r="B180" s="10" t="n">
        <v>3</v>
      </c>
      <c r="C180" s="10" t="inlineStr">
        <is>
          <t>RECOMENDACION</t>
        </is>
      </c>
      <c r="D180" s="10" t="inlineStr">
        <is>
          <t>R56</t>
        </is>
      </c>
      <c r="E180" s="10" t="inlineStr">
        <is>
          <t>Adquirir un TP-Link + chip 4G LTE como respaldo ante caídas de la red principal.</t>
        </is>
      </c>
      <c r="F180" s="12">
        <f>IF(D180="","",IFERROR(INDEX(kb_regla_recomendacion!$G$2:$G$200,MATCH(D180,kb_regla_recomendacion!$A$2:$A$200,0)),"Regla no existe"))</f>
        <v/>
      </c>
    </row>
    <row r="181">
      <c r="A181" s="10" t="inlineStr">
        <is>
          <t>MH-040</t>
        </is>
      </c>
      <c r="B181" s="10" t="n">
        <v>4</v>
      </c>
      <c r="C181" s="10" t="inlineStr">
        <is>
          <t>ACCION_ID</t>
        </is>
      </c>
      <c r="D181" s="10" t="inlineStr">
        <is>
          <t>A01</t>
        </is>
      </c>
      <c r="E181" s="10" t="inlineStr">
        <is>
          <t>Compartir minuta de visita técnica.</t>
        </is>
      </c>
      <c r="F181" s="12">
        <f>IF(D181="","",IFERROR(INDEX(kb_regla_recomendacion!$G$2:$G$200,MATCH(D181,kb_regla_recomendacion!$A$2:$A$200,0)),"Regla no existe"))</f>
        <v/>
      </c>
    </row>
    <row r="182">
      <c r="A182" s="10" t="inlineStr">
        <is>
          <t>MH-040</t>
        </is>
      </c>
      <c r="B182" s="10" t="n">
        <v>5</v>
      </c>
      <c r="C182" s="10" t="inlineStr">
        <is>
          <t>ACCION_CLIENTE</t>
        </is>
      </c>
      <c r="D182" s="10" t="inlineStr">
        <is>
          <t>A02</t>
        </is>
      </c>
      <c r="E182" s="10" t="inlineStr">
        <is>
          <t>Confirmar recepción de minuta.</t>
        </is>
      </c>
      <c r="F182" s="12">
        <f>IF(D182="","",IFERROR(INDEX(kb_regla_recomendacion!$G$2:$G$200,MATCH(D182,kb_regla_recomendacion!$A$2:$A$200,0)),"Regla no existe"))</f>
        <v/>
      </c>
    </row>
    <row r="183">
      <c r="A183" s="10" t="inlineStr">
        <is>
          <t>MH-041</t>
        </is>
      </c>
      <c r="B183" s="10" t="n">
        <v>1</v>
      </c>
      <c r="C183" s="10" t="inlineStr">
        <is>
          <t>RECOMENDACION</t>
        </is>
      </c>
      <c r="D183" s="10" t="inlineStr">
        <is>
          <t>R56</t>
        </is>
      </c>
      <c r="E183" s="10" t="inlineStr">
        <is>
          <t>Cotizar un router portátil y cableado de red.</t>
        </is>
      </c>
      <c r="F183" s="12">
        <f>IF(D183="","",IFERROR(INDEX(kb_regla_recomendacion!$G$2:$G$200,MATCH(D183,kb_regla_recomendacion!$A$2:$A$200,0)),"Regla no existe"))</f>
        <v/>
      </c>
    </row>
    <row r="184">
      <c r="A184" s="10" t="inlineStr">
        <is>
          <t>MH-042</t>
        </is>
      </c>
      <c r="B184" s="10" t="n">
        <v>1</v>
      </c>
      <c r="C184" s="10" t="inlineStr">
        <is>
          <t>RECOMENDACION</t>
        </is>
      </c>
      <c r="D184" s="10" t="inlineStr">
        <is>
          <t>R37</t>
        </is>
      </c>
      <c r="E184" s="10" t="inlineStr">
        <is>
          <t>Cambiar el conector RJ45 para evitar pérdidas de conexión al mover los equipos.</t>
        </is>
      </c>
      <c r="F184" s="12">
        <f>IF(D184="","",IFERROR(INDEX(kb_regla_recomendacion!$G$2:$G$200,MATCH(D184,kb_regla_recomendacion!$A$2:$A$200,0)),"Regla no existe"))</f>
        <v/>
      </c>
    </row>
    <row r="185">
      <c r="A185" s="10" t="inlineStr">
        <is>
          <t>MH-042</t>
        </is>
      </c>
      <c r="B185" s="10" t="n">
        <v>2</v>
      </c>
      <c r="C185" s="10" t="inlineStr">
        <is>
          <t>RECOMENDACION</t>
        </is>
      </c>
      <c r="D185" s="10" t="inlineStr">
        <is>
          <t>R61</t>
        </is>
      </c>
      <c r="E185" s="10" t="inlineStr">
        <is>
          <t>No cambiar la impresora de puerto en el router.</t>
        </is>
      </c>
      <c r="F185" s="12">
        <f>IF(D185="","",IFERROR(INDEX(kb_regla_recomendacion!$G$2:$G$200,MATCH(D185,kb_regla_recomendacion!$A$2:$A$200,0)),"Regla no existe"))</f>
        <v/>
      </c>
    </row>
    <row r="186">
      <c r="A186" s="10" t="inlineStr">
        <is>
          <t>MH-042</t>
        </is>
      </c>
      <c r="B186" s="10" t="n">
        <v>3</v>
      </c>
      <c r="C186" s="10" t="inlineStr">
        <is>
          <t>ACCION_ID</t>
        </is>
      </c>
      <c r="D186" s="10" t="inlineStr">
        <is>
          <t>A09</t>
        </is>
      </c>
      <c r="E186" s="10" t="inlineStr">
        <is>
          <t>Hacer seguimiento a los futuros cambios.</t>
        </is>
      </c>
      <c r="F186" s="12">
        <f>IF(D186="","",IFERROR(INDEX(kb_regla_recomendacion!$G$2:$G$200,MATCH(D186,kb_regla_recomendacion!$A$2:$A$200,0)),"Regla no existe"))</f>
        <v/>
      </c>
    </row>
    <row r="187">
      <c r="A187" s="10" t="inlineStr">
        <is>
          <t>MH-042</t>
        </is>
      </c>
      <c r="B187" s="10" t="n">
        <v>4</v>
      </c>
      <c r="C187" s="10" t="inlineStr">
        <is>
          <t>ACCION_CLIENTE</t>
        </is>
      </c>
      <c r="D187" s="10" t="inlineStr">
        <is>
          <t>A02</t>
        </is>
      </c>
      <c r="E187" s="10" t="inlineStr">
        <is>
          <t>Confirmar recepción de minuta y evaluar recomendaciones.</t>
        </is>
      </c>
      <c r="F187" s="12">
        <f>IF(D187="","",IFERROR(INDEX(kb_regla_recomendacion!$G$2:$G$200,MATCH(D187,kb_regla_recomendacion!$A$2:$A$200,0)),"Regla no existe"))</f>
        <v/>
      </c>
    </row>
    <row r="188">
      <c r="A188" s="10" t="inlineStr">
        <is>
          <t>MH-043</t>
        </is>
      </c>
      <c r="B188" s="10" t="n">
        <v>1</v>
      </c>
      <c r="C188" s="10" t="inlineStr">
        <is>
          <t>RECOMENDACION</t>
        </is>
      </c>
      <c r="D188" s="10" t="inlineStr">
        <is>
          <t>R63</t>
        </is>
      </c>
      <c r="E188" s="10" t="inlineStr">
        <is>
          <t>Pruebas de impresión térmica, escáneres, gavetas, balanzas y Niubiz en Caja 01 y Caja 02.</t>
        </is>
      </c>
      <c r="F188" s="12">
        <f>IF(D188="","",IFERROR(INDEX(kb_regla_recomendacion!$G$2:$G$200,MATCH(D188,kb_regla_recomendacion!$A$2:$A$200,0)),"Regla no existe"))</f>
        <v/>
      </c>
    </row>
    <row r="189">
      <c r="A189" s="10" t="inlineStr">
        <is>
          <t>MH-043</t>
        </is>
      </c>
      <c r="B189" s="10" t="n">
        <v>2</v>
      </c>
      <c r="C189" s="10" t="inlineStr">
        <is>
          <t>RECOMENDACION</t>
        </is>
      </c>
      <c r="D189" s="10" t="inlineStr">
        <is>
          <t>R55</t>
        </is>
      </c>
      <c r="E189" s="10" t="inlineStr">
        <is>
          <t>Validar la comunicación entre el terminal de Caja 02 y la impresora en 192.168.1.87:9100.</t>
        </is>
      </c>
      <c r="F189" s="12">
        <f>IF(D189="","",IFERROR(INDEX(kb_regla_recomendacion!$G$2:$G$200,MATCH(D189,kb_regla_recomendacion!$A$2:$A$200,0)),"Regla no existe"))</f>
        <v/>
      </c>
    </row>
    <row r="190">
      <c r="A190" s="10" t="inlineStr">
        <is>
          <t>MH-043</t>
        </is>
      </c>
      <c r="B190" s="10" t="n">
        <v>3</v>
      </c>
      <c r="C190" s="10" t="inlineStr">
        <is>
          <t>RECOMENDACION</t>
        </is>
      </c>
      <c r="D190" s="10" t="inlineStr">
        <is>
          <t>R24</t>
        </is>
      </c>
      <c r="E190" s="10" t="inlineStr">
        <is>
          <t>Validar la IP y el puerto final de la impresora de Caja 01 (tiene DHCP).</t>
        </is>
      </c>
      <c r="F190" s="12">
        <f>IF(D190="","",IFERROR(INDEX(kb_regla_recomendacion!$G$2:$G$200,MATCH(D190,kb_regla_recomendacion!$A$2:$A$200,0)),"Regla no existe"))</f>
        <v/>
      </c>
    </row>
    <row r="191">
      <c r="A191" s="10" t="inlineStr">
        <is>
          <t>MH-043</t>
        </is>
      </c>
      <c r="B191" s="10" t="n">
        <v>4</v>
      </c>
      <c r="C191" s="10" t="inlineStr">
        <is>
          <t>RECOMENDACION</t>
        </is>
      </c>
      <c r="D191" s="10" t="inlineStr">
        <is>
          <t>R63</t>
        </is>
      </c>
      <c r="E191" s="10" t="inlineStr">
        <is>
          <t>Validar driver y prueba de impresión de etiquetas en la TSC TE200.</t>
        </is>
      </c>
      <c r="F191" s="12">
        <f>IF(D191="","",IFERROR(INDEX(kb_regla_recomendacion!$G$2:$G$200,MATCH(D191,kb_regla_recomendacion!$A$2:$A$200,0)),"Regla no existe"))</f>
        <v/>
      </c>
    </row>
    <row r="192">
      <c r="A192" s="10" t="inlineStr">
        <is>
          <t>MH-043</t>
        </is>
      </c>
      <c r="B192" s="10" t="n">
        <v>5</v>
      </c>
      <c r="C192" s="10" t="inlineStr">
        <is>
          <t>ACCION_CLIENTE</t>
        </is>
      </c>
      <c r="D192" s="10" t="inlineStr">
        <is>
          <t>R63</t>
        </is>
      </c>
      <c r="E192" s="10" t="inlineStr">
        <is>
          <t>Confirmar si la balanza de Caja 02 se repara o se usa la adicional.</t>
        </is>
      </c>
      <c r="F192" s="12">
        <f>IF(D192="","",IFERROR(INDEX(kb_regla_recomendacion!$G$2:$G$200,MATCH(D192,kb_regla_recomendacion!$A$2:$A$200,0)),"Regla no existe"))</f>
        <v/>
      </c>
    </row>
    <row r="193">
      <c r="A193" s="10" t="inlineStr">
        <is>
          <t>MH-043</t>
        </is>
      </c>
      <c r="B193" s="10" t="n">
        <v>6</v>
      </c>
      <c r="C193" s="10" t="inlineStr">
        <is>
          <t>ACCION_CLIENTE</t>
        </is>
      </c>
      <c r="D193" s="10" t="inlineStr">
        <is>
          <t>A07</t>
        </is>
      </c>
      <c r="E193" s="10" t="inlineStr">
        <is>
          <t>Compartir el catálogo de productos o confirmar si se replica uno existente.</t>
        </is>
      </c>
      <c r="F193" s="12">
        <f>IF(D193="","",IFERROR(INDEX(kb_regla_recomendacion!$G$2:$G$200,MATCH(D193,kb_regla_recomendacion!$A$2:$A$200,0)),"Regla no existe"))</f>
        <v/>
      </c>
    </row>
    <row r="194">
      <c r="A194" s="10" t="inlineStr">
        <is>
          <t>MH-044</t>
        </is>
      </c>
      <c r="B194" s="10" t="n">
        <v>1</v>
      </c>
      <c r="C194" s="10" t="inlineStr">
        <is>
          <t>RECOMENDACION</t>
        </is>
      </c>
      <c r="D194" s="10" t="inlineStr">
        <is>
          <t>R02</t>
        </is>
      </c>
      <c r="E194" s="10" t="inlineStr">
        <is>
          <t>Es imprescindible adquirir un kit Raspberry que controla las impresiones de comandas, pre-cuentas y comprobantes.</t>
        </is>
      </c>
      <c r="F194" s="12">
        <f>IF(D194="","",IFERROR(INDEX(kb_regla_recomendacion!$G$2:$G$200,MATCH(D194,kb_regla_recomendacion!$A$2:$A$200,0)),"Regla no existe"))</f>
        <v/>
      </c>
    </row>
    <row r="195">
      <c r="A195" s="10" t="inlineStr">
        <is>
          <t>MH-044</t>
        </is>
      </c>
      <c r="B195" s="10" t="n">
        <v>2</v>
      </c>
      <c r="C195" s="10" t="inlineStr">
        <is>
          <t>RECOMENDACION</t>
        </is>
      </c>
      <c r="D195" s="10" t="inlineStr">
        <is>
          <t>R06</t>
        </is>
      </c>
      <c r="E195" s="10" t="inlineStr">
        <is>
          <t>Revisar los zócalos de los puntos de red para no tener ambas impresoras juntas.</t>
        </is>
      </c>
      <c r="F195" s="12">
        <f>IF(D195="","",IFERROR(INDEX(kb_regla_recomendacion!$G$2:$G$200,MATCH(D195,kb_regla_recomendacion!$A$2:$A$200,0)),"Regla no existe"))</f>
        <v/>
      </c>
    </row>
    <row r="196">
      <c r="A196" s="10" t="inlineStr">
        <is>
          <t>MH-044</t>
        </is>
      </c>
      <c r="B196" s="10" t="n">
        <v>3</v>
      </c>
      <c r="C196" s="10" t="inlineStr">
        <is>
          <t>ACCION_ID</t>
        </is>
      </c>
      <c r="D196" s="10" t="inlineStr">
        <is>
          <t>A01</t>
        </is>
      </c>
      <c r="E196" s="10" t="inlineStr">
        <is>
          <t>Compartir minuta de visita técnica y recomendaciones.</t>
        </is>
      </c>
      <c r="F196" s="12">
        <f>IF(D196="","",IFERROR(INDEX(kb_regla_recomendacion!$G$2:$G$200,MATCH(D196,kb_regla_recomendacion!$A$2:$A$200,0)),"Regla no existe"))</f>
        <v/>
      </c>
    </row>
    <row r="197">
      <c r="A197" s="10" t="inlineStr">
        <is>
          <t>MH-044</t>
        </is>
      </c>
      <c r="B197" s="10" t="n">
        <v>4</v>
      </c>
      <c r="C197" s="10" t="inlineStr">
        <is>
          <t>ACCION_CLIENTE</t>
        </is>
      </c>
      <c r="D197" s="10" t="inlineStr">
        <is>
          <t>A02</t>
        </is>
      </c>
      <c r="E197" s="10" t="inlineStr">
        <is>
          <t>Confirmar recepción de la minuta.</t>
        </is>
      </c>
      <c r="F197" s="12">
        <f>IF(D197="","",IFERROR(INDEX(kb_regla_recomendacion!$G$2:$G$200,MATCH(D197,kb_regla_recomendacion!$A$2:$A$200,0)),"Regla no existe"))</f>
        <v/>
      </c>
    </row>
    <row r="198">
      <c r="A198" s="13" t="n"/>
      <c r="B198" s="13" t="n"/>
      <c r="C198" s="13" t="n"/>
      <c r="D198" s="13" t="n"/>
      <c r="E198" s="13" t="n"/>
      <c r="F198" s="12">
        <f>IF(D198="","",IFERROR(INDEX(kb_regla_recomendacion!$G$2:$G$200,MATCH(D198,kb_regla_recomendacion!$A$2:$A$200,0)),"Regla no existe"))</f>
        <v/>
      </c>
    </row>
    <row r="199">
      <c r="A199" s="13" t="n"/>
      <c r="B199" s="13" t="n"/>
      <c r="C199" s="13" t="n"/>
      <c r="D199" s="13" t="n"/>
      <c r="E199" s="13" t="n"/>
      <c r="F199" s="12">
        <f>IF(D199="","",IFERROR(INDEX(kb_regla_recomendacion!$G$2:$G$200,MATCH(D199,kb_regla_recomendacion!$A$2:$A$200,0)),"Regla no existe"))</f>
        <v/>
      </c>
    </row>
    <row r="200">
      <c r="A200" s="13" t="n"/>
      <c r="B200" s="13" t="n"/>
      <c r="C200" s="13" t="n"/>
      <c r="D200" s="13" t="n"/>
      <c r="E200" s="13" t="n"/>
      <c r="F200" s="12">
        <f>IF(D200="","",IFERROR(INDEX(kb_regla_recomendacion!$G$2:$G$200,MATCH(D200,kb_regla_recomendacion!$A$2:$A$200,0)),"Regla no existe"))</f>
        <v/>
      </c>
    </row>
    <row r="201">
      <c r="A201" s="13" t="n"/>
      <c r="B201" s="13" t="n"/>
      <c r="C201" s="13" t="n"/>
      <c r="D201" s="13" t="n"/>
      <c r="E201" s="13" t="n"/>
      <c r="F201" s="12">
        <f>IF(D201="","",IFERROR(INDEX(kb_regla_recomendacion!$G$2:$G$200,MATCH(D201,kb_regla_recomendacion!$A$2:$A$200,0)),"Regla no existe"))</f>
        <v/>
      </c>
    </row>
    <row r="202">
      <c r="A202" s="13" t="n"/>
      <c r="B202" s="13" t="n"/>
      <c r="C202" s="13" t="n"/>
      <c r="D202" s="13" t="n"/>
      <c r="E202" s="13" t="n"/>
      <c r="F202" s="12">
        <f>IF(D202="","",IFERROR(INDEX(kb_regla_recomendacion!$G$2:$G$200,MATCH(D202,kb_regla_recomendacion!$A$2:$A$200,0)),"Regla no existe"))</f>
        <v/>
      </c>
    </row>
    <row r="203">
      <c r="A203" s="13" t="n"/>
      <c r="B203" s="13" t="n"/>
      <c r="C203" s="13" t="n"/>
      <c r="D203" s="13" t="n"/>
      <c r="E203" s="13" t="n"/>
      <c r="F203" s="12">
        <f>IF(D203="","",IFERROR(INDEX(kb_regla_recomendacion!$G$2:$G$200,MATCH(D203,kb_regla_recomendacion!$A$2:$A$200,0)),"Regla no existe"))</f>
        <v/>
      </c>
    </row>
    <row r="204">
      <c r="A204" s="13" t="n"/>
      <c r="B204" s="13" t="n"/>
      <c r="C204" s="13" t="n"/>
      <c r="D204" s="13" t="n"/>
      <c r="E204" s="13" t="n"/>
      <c r="F204" s="12">
        <f>IF(D204="","",IFERROR(INDEX(kb_regla_recomendacion!$G$2:$G$200,MATCH(D204,kb_regla_recomendacion!$A$2:$A$200,0)),"Regla no existe"))</f>
        <v/>
      </c>
    </row>
    <row r="205">
      <c r="A205" s="13" t="n"/>
      <c r="B205" s="13" t="n"/>
      <c r="C205" s="13" t="n"/>
      <c r="D205" s="13" t="n"/>
      <c r="E205" s="13" t="n"/>
      <c r="F205" s="12">
        <f>IF(D205="","",IFERROR(INDEX(kb_regla_recomendacion!$G$2:$G$200,MATCH(D205,kb_regla_recomendacion!$A$2:$A$200,0)),"Regla no existe"))</f>
        <v/>
      </c>
    </row>
    <row r="206">
      <c r="A206" s="13" t="n"/>
      <c r="B206" s="13" t="n"/>
      <c r="C206" s="13" t="n"/>
      <c r="D206" s="13" t="n"/>
      <c r="E206" s="13" t="n"/>
      <c r="F206" s="12">
        <f>IF(D206="","",IFERROR(INDEX(kb_regla_recomendacion!$G$2:$G$200,MATCH(D206,kb_regla_recomendacion!$A$2:$A$200,0)),"Regla no existe"))</f>
        <v/>
      </c>
    </row>
    <row r="207">
      <c r="A207" s="13" t="n"/>
      <c r="B207" s="13" t="n"/>
      <c r="C207" s="13" t="n"/>
      <c r="D207" s="13" t="n"/>
      <c r="E207" s="13" t="n"/>
      <c r="F207" s="12">
        <f>IF(D207="","",IFERROR(INDEX(kb_regla_recomendacion!$G$2:$G$200,MATCH(D207,kb_regla_recomendacion!$A$2:$A$200,0)),"Regla no existe"))</f>
        <v/>
      </c>
    </row>
    <row r="208">
      <c r="A208" s="13" t="n"/>
      <c r="B208" s="13" t="n"/>
      <c r="C208" s="13" t="n"/>
      <c r="D208" s="13" t="n"/>
      <c r="E208" s="13" t="n"/>
      <c r="F208" s="12">
        <f>IF(D208="","",IFERROR(INDEX(kb_regla_recomendacion!$G$2:$G$200,MATCH(D208,kb_regla_recomendacion!$A$2:$A$200,0)),"Regla no existe"))</f>
        <v/>
      </c>
    </row>
    <row r="209">
      <c r="A209" s="13" t="n"/>
      <c r="B209" s="13" t="n"/>
      <c r="C209" s="13" t="n"/>
      <c r="D209" s="13" t="n"/>
      <c r="E209" s="13" t="n"/>
      <c r="F209" s="12">
        <f>IF(D209="","",IFERROR(INDEX(kb_regla_recomendacion!$G$2:$G$200,MATCH(D209,kb_regla_recomendacion!$A$2:$A$200,0)),"Regla no existe"))</f>
        <v/>
      </c>
    </row>
    <row r="210">
      <c r="A210" s="13" t="n"/>
      <c r="B210" s="13" t="n"/>
      <c r="C210" s="13" t="n"/>
      <c r="D210" s="13" t="n"/>
      <c r="E210" s="13" t="n"/>
      <c r="F210" s="12">
        <f>IF(D210="","",IFERROR(INDEX(kb_regla_recomendacion!$G$2:$G$200,MATCH(D210,kb_regla_recomendacion!$A$2:$A$200,0)),"Regla no existe"))</f>
        <v/>
      </c>
    </row>
    <row r="211">
      <c r="A211" s="13" t="n"/>
      <c r="B211" s="13" t="n"/>
      <c r="C211" s="13" t="n"/>
      <c r="D211" s="13" t="n"/>
      <c r="E211" s="13" t="n"/>
      <c r="F211" s="12">
        <f>IF(D211="","",IFERROR(INDEX(kb_regla_recomendacion!$G$2:$G$200,MATCH(D211,kb_regla_recomendacion!$A$2:$A$200,0)),"Regla no existe"))</f>
        <v/>
      </c>
    </row>
    <row r="212">
      <c r="A212" s="13" t="n"/>
      <c r="B212" s="13" t="n"/>
      <c r="C212" s="13" t="n"/>
      <c r="D212" s="13" t="n"/>
      <c r="E212" s="13" t="n"/>
      <c r="F212" s="12">
        <f>IF(D212="","",IFERROR(INDEX(kb_regla_recomendacion!$G$2:$G$200,MATCH(D212,kb_regla_recomendacion!$A$2:$A$200,0)),"Regla no existe"))</f>
        <v/>
      </c>
    </row>
    <row r="213">
      <c r="A213" s="13" t="n"/>
      <c r="B213" s="13" t="n"/>
      <c r="C213" s="13" t="n"/>
      <c r="D213" s="13" t="n"/>
      <c r="E213" s="13" t="n"/>
      <c r="F213" s="12">
        <f>IF(D213="","",IFERROR(INDEX(kb_regla_recomendacion!$G$2:$G$200,MATCH(D213,kb_regla_recomendacion!$A$2:$A$200,0)),"Regla no existe"))</f>
        <v/>
      </c>
    </row>
    <row r="214">
      <c r="A214" s="13" t="n"/>
      <c r="B214" s="13" t="n"/>
      <c r="C214" s="13" t="n"/>
      <c r="D214" s="13" t="n"/>
      <c r="E214" s="13" t="n"/>
      <c r="F214" s="12">
        <f>IF(D214="","",IFERROR(INDEX(kb_regla_recomendacion!$G$2:$G$200,MATCH(D214,kb_regla_recomendacion!$A$2:$A$200,0)),"Regla no existe"))</f>
        <v/>
      </c>
    </row>
    <row r="215">
      <c r="A215" s="13" t="n"/>
      <c r="B215" s="13" t="n"/>
      <c r="C215" s="13" t="n"/>
      <c r="D215" s="13" t="n"/>
      <c r="E215" s="13" t="n"/>
      <c r="F215" s="12">
        <f>IF(D215="","",IFERROR(INDEX(kb_regla_recomendacion!$G$2:$G$200,MATCH(D215,kb_regla_recomendacion!$A$2:$A$200,0)),"Regla no existe"))</f>
        <v/>
      </c>
    </row>
    <row r="216">
      <c r="A216" s="13" t="n"/>
      <c r="B216" s="13" t="n"/>
      <c r="C216" s="13" t="n"/>
      <c r="D216" s="13" t="n"/>
      <c r="E216" s="13" t="n"/>
      <c r="F216" s="12">
        <f>IF(D216="","",IFERROR(INDEX(kb_regla_recomendacion!$G$2:$G$200,MATCH(D216,kb_regla_recomendacion!$A$2:$A$200,0)),"Regla no existe"))</f>
        <v/>
      </c>
    </row>
    <row r="217">
      <c r="A217" s="13" t="n"/>
      <c r="B217" s="13" t="n"/>
      <c r="C217" s="13" t="n"/>
      <c r="D217" s="13" t="n"/>
      <c r="E217" s="13" t="n"/>
      <c r="F217" s="12">
        <f>IF(D217="","",IFERROR(INDEX(kb_regla_recomendacion!$G$2:$G$200,MATCH(D217,kb_regla_recomendacion!$A$2:$A$200,0)),"Regla no existe"))</f>
        <v/>
      </c>
    </row>
    <row r="218">
      <c r="A218" s="13" t="n"/>
      <c r="B218" s="13" t="n"/>
      <c r="C218" s="13" t="n"/>
      <c r="D218" s="13" t="n"/>
      <c r="E218" s="13" t="n"/>
      <c r="F218" s="12">
        <f>IF(D218="","",IFERROR(INDEX(kb_regla_recomendacion!$G$2:$G$200,MATCH(D218,kb_regla_recomendacion!$A$2:$A$200,0)),"Regla no existe"))</f>
        <v/>
      </c>
    </row>
    <row r="219">
      <c r="A219" s="13" t="n"/>
      <c r="B219" s="13" t="n"/>
      <c r="C219" s="13" t="n"/>
      <c r="D219" s="13" t="n"/>
      <c r="E219" s="13" t="n"/>
      <c r="F219" s="12">
        <f>IF(D219="","",IFERROR(INDEX(kb_regla_recomendacion!$G$2:$G$200,MATCH(D219,kb_regla_recomendacion!$A$2:$A$200,0)),"Regla no existe"))</f>
        <v/>
      </c>
    </row>
    <row r="220">
      <c r="A220" s="13" t="n"/>
      <c r="B220" s="13" t="n"/>
      <c r="C220" s="13" t="n"/>
      <c r="D220" s="13" t="n"/>
      <c r="E220" s="13" t="n"/>
      <c r="F220" s="12">
        <f>IF(D220="","",IFERROR(INDEX(kb_regla_recomendacion!$G$2:$G$200,MATCH(D220,kb_regla_recomendacion!$A$2:$A$200,0)),"Regla no existe"))</f>
        <v/>
      </c>
    </row>
    <row r="221">
      <c r="A221" s="13" t="n"/>
      <c r="B221" s="13" t="n"/>
      <c r="C221" s="13" t="n"/>
      <c r="D221" s="13" t="n"/>
      <c r="E221" s="13" t="n"/>
      <c r="F221" s="12">
        <f>IF(D221="","",IFERROR(INDEX(kb_regla_recomendacion!$G$2:$G$200,MATCH(D221,kb_regla_recomendacion!$A$2:$A$200,0)),"Regla no existe"))</f>
        <v/>
      </c>
    </row>
    <row r="222">
      <c r="A222" s="13" t="n"/>
      <c r="B222" s="13" t="n"/>
      <c r="C222" s="13" t="n"/>
      <c r="D222" s="13" t="n"/>
      <c r="E222" s="13" t="n"/>
      <c r="F222" s="12">
        <f>IF(D222="","",IFERROR(INDEX(kb_regla_recomendacion!$G$2:$G$200,MATCH(D222,kb_regla_recomendacion!$A$2:$A$200,0)),"Regla no existe"))</f>
        <v/>
      </c>
    </row>
    <row r="223">
      <c r="A223" s="13" t="n"/>
      <c r="B223" s="13" t="n"/>
      <c r="C223" s="13" t="n"/>
      <c r="D223" s="13" t="n"/>
      <c r="E223" s="13" t="n"/>
      <c r="F223" s="12">
        <f>IF(D223="","",IFERROR(INDEX(kb_regla_recomendacion!$G$2:$G$200,MATCH(D223,kb_regla_recomendacion!$A$2:$A$200,0)),"Regla no existe"))</f>
        <v/>
      </c>
    </row>
    <row r="224">
      <c r="A224" s="13" t="n"/>
      <c r="B224" s="13" t="n"/>
      <c r="C224" s="13" t="n"/>
      <c r="D224" s="13" t="n"/>
      <c r="E224" s="13" t="n"/>
      <c r="F224" s="12">
        <f>IF(D224="","",IFERROR(INDEX(kb_regla_recomendacion!$G$2:$G$200,MATCH(D224,kb_regla_recomendacion!$A$2:$A$200,0)),"Regla no existe"))</f>
        <v/>
      </c>
    </row>
    <row r="225">
      <c r="A225" s="13" t="n"/>
      <c r="B225" s="13" t="n"/>
      <c r="C225" s="13" t="n"/>
      <c r="D225" s="13" t="n"/>
      <c r="E225" s="13" t="n"/>
      <c r="F225" s="12">
        <f>IF(D225="","",IFERROR(INDEX(kb_regla_recomendacion!$G$2:$G$200,MATCH(D225,kb_regla_recomendacion!$A$2:$A$200,0)),"Regla no existe"))</f>
        <v/>
      </c>
    </row>
    <row r="226">
      <c r="A226" s="13" t="n"/>
      <c r="B226" s="13" t="n"/>
      <c r="C226" s="13" t="n"/>
      <c r="D226" s="13" t="n"/>
      <c r="E226" s="13" t="n"/>
      <c r="F226" s="12">
        <f>IF(D226="","",IFERROR(INDEX(kb_regla_recomendacion!$G$2:$G$200,MATCH(D226,kb_regla_recomendacion!$A$2:$A$200,0)),"Regla no existe"))</f>
        <v/>
      </c>
    </row>
    <row r="227">
      <c r="A227" s="13" t="n"/>
      <c r="B227" s="13" t="n"/>
      <c r="C227" s="13" t="n"/>
      <c r="D227" s="13" t="n"/>
      <c r="E227" s="13" t="n"/>
      <c r="F227" s="12">
        <f>IF(D227="","",IFERROR(INDEX(kb_regla_recomendacion!$G$2:$G$200,MATCH(D227,kb_regla_recomendacion!$A$2:$A$200,0)),"Regla no existe"))</f>
        <v/>
      </c>
    </row>
    <row r="228">
      <c r="A228" s="13" t="n"/>
      <c r="B228" s="13" t="n"/>
      <c r="C228" s="13" t="n"/>
      <c r="D228" s="13" t="n"/>
      <c r="E228" s="13" t="n"/>
      <c r="F228" s="12">
        <f>IF(D228="","",IFERROR(INDEX(kb_regla_recomendacion!$G$2:$G$200,MATCH(D228,kb_regla_recomendacion!$A$2:$A$200,0)),"Regla no existe"))</f>
        <v/>
      </c>
    </row>
    <row r="229">
      <c r="A229" s="13" t="n"/>
      <c r="B229" s="13" t="n"/>
      <c r="C229" s="13" t="n"/>
      <c r="D229" s="13" t="n"/>
      <c r="E229" s="13" t="n"/>
      <c r="F229" s="12">
        <f>IF(D229="","",IFERROR(INDEX(kb_regla_recomendacion!$G$2:$G$200,MATCH(D229,kb_regla_recomendacion!$A$2:$A$200,0)),"Regla no existe"))</f>
        <v/>
      </c>
    </row>
    <row r="230">
      <c r="A230" s="13" t="n"/>
      <c r="B230" s="13" t="n"/>
      <c r="C230" s="13" t="n"/>
      <c r="D230" s="13" t="n"/>
      <c r="E230" s="13" t="n"/>
      <c r="F230" s="12">
        <f>IF(D230="","",IFERROR(INDEX(kb_regla_recomendacion!$G$2:$G$200,MATCH(D230,kb_regla_recomendacion!$A$2:$A$200,0)),"Regla no existe"))</f>
        <v/>
      </c>
    </row>
    <row r="231">
      <c r="A231" s="13" t="n"/>
      <c r="B231" s="13" t="n"/>
      <c r="C231" s="13" t="n"/>
      <c r="D231" s="13" t="n"/>
      <c r="E231" s="13" t="n"/>
      <c r="F231" s="12">
        <f>IF(D231="","",IFERROR(INDEX(kb_regla_recomendacion!$G$2:$G$200,MATCH(D231,kb_regla_recomendacion!$A$2:$A$200,0)),"Regla no existe"))</f>
        <v/>
      </c>
    </row>
    <row r="232">
      <c r="A232" s="13" t="n"/>
      <c r="B232" s="13" t="n"/>
      <c r="C232" s="13" t="n"/>
      <c r="D232" s="13" t="n"/>
      <c r="E232" s="13" t="n"/>
      <c r="F232" s="12">
        <f>IF(D232="","",IFERROR(INDEX(kb_regla_recomendacion!$G$2:$G$200,MATCH(D232,kb_regla_recomendacion!$A$2:$A$200,0)),"Regla no existe"))</f>
        <v/>
      </c>
    </row>
    <row r="233">
      <c r="A233" s="13" t="n"/>
      <c r="B233" s="13" t="n"/>
      <c r="C233" s="13" t="n"/>
      <c r="D233" s="13" t="n"/>
      <c r="E233" s="13" t="n"/>
      <c r="F233" s="12">
        <f>IF(D233="","",IFERROR(INDEX(kb_regla_recomendacion!$G$2:$G$200,MATCH(D233,kb_regla_recomendacion!$A$2:$A$200,0)),"Regla no existe"))</f>
        <v/>
      </c>
    </row>
    <row r="234">
      <c r="A234" s="13" t="n"/>
      <c r="B234" s="13" t="n"/>
      <c r="C234" s="13" t="n"/>
      <c r="D234" s="13" t="n"/>
      <c r="E234" s="13" t="n"/>
      <c r="F234" s="12">
        <f>IF(D234="","",IFERROR(INDEX(kb_regla_recomendacion!$G$2:$G$200,MATCH(D234,kb_regla_recomendacion!$A$2:$A$200,0)),"Regla no existe"))</f>
        <v/>
      </c>
    </row>
    <row r="235">
      <c r="A235" s="13" t="n"/>
      <c r="B235" s="13" t="n"/>
      <c r="C235" s="13" t="n"/>
      <c r="D235" s="13" t="n"/>
      <c r="E235" s="13" t="n"/>
      <c r="F235" s="12">
        <f>IF(D235="","",IFERROR(INDEX(kb_regla_recomendacion!$G$2:$G$200,MATCH(D235,kb_regla_recomendacion!$A$2:$A$200,0)),"Regla no existe"))</f>
        <v/>
      </c>
    </row>
    <row r="236">
      <c r="A236" s="13" t="n"/>
      <c r="B236" s="13" t="n"/>
      <c r="C236" s="13" t="n"/>
      <c r="D236" s="13" t="n"/>
      <c r="E236" s="13" t="n"/>
      <c r="F236" s="12">
        <f>IF(D236="","",IFERROR(INDEX(kb_regla_recomendacion!$G$2:$G$200,MATCH(D236,kb_regla_recomendacion!$A$2:$A$200,0)),"Regla no existe"))</f>
        <v/>
      </c>
    </row>
    <row r="237">
      <c r="A237" s="13" t="n"/>
      <c r="B237" s="13" t="n"/>
      <c r="C237" s="13" t="n"/>
      <c r="D237" s="13" t="n"/>
      <c r="E237" s="13" t="n"/>
      <c r="F237" s="12">
        <f>IF(D237="","",IFERROR(INDEX(kb_regla_recomendacion!$G$2:$G$200,MATCH(D237,kb_regla_recomendacion!$A$2:$A$200,0)),"Regla no existe"))</f>
        <v/>
      </c>
    </row>
    <row r="238">
      <c r="A238" s="13" t="n"/>
      <c r="B238" s="13" t="n"/>
      <c r="C238" s="13" t="n"/>
      <c r="D238" s="13" t="n"/>
      <c r="E238" s="13" t="n"/>
      <c r="F238" s="12">
        <f>IF(D238="","",IFERROR(INDEX(kb_regla_recomendacion!$G$2:$G$200,MATCH(D238,kb_regla_recomendacion!$A$2:$A$200,0)),"Regla no existe"))</f>
        <v/>
      </c>
    </row>
    <row r="239">
      <c r="A239" s="13" t="n"/>
      <c r="B239" s="13" t="n"/>
      <c r="C239" s="13" t="n"/>
      <c r="D239" s="13" t="n"/>
      <c r="E239" s="13" t="n"/>
      <c r="F239" s="12">
        <f>IF(D239="","",IFERROR(INDEX(kb_regla_recomendacion!$G$2:$G$200,MATCH(D239,kb_regla_recomendacion!$A$2:$A$200,0)),"Regla no existe"))</f>
        <v/>
      </c>
    </row>
    <row r="240">
      <c r="A240" s="13" t="n"/>
      <c r="B240" s="13" t="n"/>
      <c r="C240" s="13" t="n"/>
      <c r="D240" s="13" t="n"/>
      <c r="E240" s="13" t="n"/>
      <c r="F240" s="12">
        <f>IF(D240="","",IFERROR(INDEX(kb_regla_recomendacion!$G$2:$G$200,MATCH(D240,kb_regla_recomendacion!$A$2:$A$200,0)),"Regla no existe"))</f>
        <v/>
      </c>
    </row>
    <row r="241">
      <c r="A241" s="13" t="n"/>
      <c r="B241" s="13" t="n"/>
      <c r="C241" s="13" t="n"/>
      <c r="D241" s="13" t="n"/>
      <c r="E241" s="13" t="n"/>
      <c r="F241" s="12">
        <f>IF(D241="","",IFERROR(INDEX(kb_regla_recomendacion!$G$2:$G$200,MATCH(D241,kb_regla_recomendacion!$A$2:$A$200,0)),"Regla no existe"))</f>
        <v/>
      </c>
    </row>
    <row r="242">
      <c r="A242" s="13" t="n"/>
      <c r="B242" s="13" t="n"/>
      <c r="C242" s="13" t="n"/>
      <c r="D242" s="13" t="n"/>
      <c r="E242" s="13" t="n"/>
      <c r="F242" s="12">
        <f>IF(D242="","",IFERROR(INDEX(kb_regla_recomendacion!$G$2:$G$200,MATCH(D242,kb_regla_recomendacion!$A$2:$A$200,0)),"Regla no existe"))</f>
        <v/>
      </c>
    </row>
    <row r="243">
      <c r="A243" s="13" t="n"/>
      <c r="B243" s="13" t="n"/>
      <c r="C243" s="13" t="n"/>
      <c r="D243" s="13" t="n"/>
      <c r="E243" s="13" t="n"/>
      <c r="F243" s="12">
        <f>IF(D243="","",IFERROR(INDEX(kb_regla_recomendacion!$G$2:$G$200,MATCH(D243,kb_regla_recomendacion!$A$2:$A$200,0)),"Regla no existe"))</f>
        <v/>
      </c>
    </row>
    <row r="244">
      <c r="A244" s="13" t="n"/>
      <c r="B244" s="13" t="n"/>
      <c r="C244" s="13" t="n"/>
      <c r="D244" s="13" t="n"/>
      <c r="E244" s="13" t="n"/>
      <c r="F244" s="12">
        <f>IF(D244="","",IFERROR(INDEX(kb_regla_recomendacion!$G$2:$G$200,MATCH(D244,kb_regla_recomendacion!$A$2:$A$200,0)),"Regla no existe"))</f>
        <v/>
      </c>
    </row>
    <row r="245">
      <c r="A245" s="13" t="n"/>
      <c r="B245" s="13" t="n"/>
      <c r="C245" s="13" t="n"/>
      <c r="D245" s="13" t="n"/>
      <c r="E245" s="13" t="n"/>
      <c r="F245" s="12">
        <f>IF(D245="","",IFERROR(INDEX(kb_regla_recomendacion!$G$2:$G$200,MATCH(D245,kb_regla_recomendacion!$A$2:$A$200,0)),"Regla no existe"))</f>
        <v/>
      </c>
    </row>
    <row r="246">
      <c r="A246" s="13" t="n"/>
      <c r="B246" s="13" t="n"/>
      <c r="C246" s="13" t="n"/>
      <c r="D246" s="13" t="n"/>
      <c r="E246" s="13" t="n"/>
      <c r="F246" s="12">
        <f>IF(D246="","",IFERROR(INDEX(kb_regla_recomendacion!$G$2:$G$200,MATCH(D246,kb_regla_recomendacion!$A$2:$A$200,0)),"Regla no existe"))</f>
        <v/>
      </c>
    </row>
    <row r="247">
      <c r="A247" s="13" t="n"/>
      <c r="B247" s="13" t="n"/>
      <c r="C247" s="13" t="n"/>
      <c r="D247" s="13" t="n"/>
      <c r="E247" s="13" t="n"/>
      <c r="F247" s="12">
        <f>IF(D247="","",IFERROR(INDEX(kb_regla_recomendacion!$G$2:$G$200,MATCH(D247,kb_regla_recomendacion!$A$2:$A$200,0)),"Regla no existe"))</f>
        <v/>
      </c>
    </row>
    <row r="248">
      <c r="A248" s="13" t="n"/>
      <c r="B248" s="13" t="n"/>
      <c r="C248" s="13" t="n"/>
      <c r="D248" s="13" t="n"/>
      <c r="E248" s="13" t="n"/>
      <c r="F248" s="12">
        <f>IF(D248="","",IFERROR(INDEX(kb_regla_recomendacion!$G$2:$G$200,MATCH(D248,kb_regla_recomendacion!$A$2:$A$200,0)),"Regla no existe"))</f>
        <v/>
      </c>
    </row>
    <row r="249">
      <c r="A249" s="13" t="n"/>
      <c r="B249" s="13" t="n"/>
      <c r="C249" s="13" t="n"/>
      <c r="D249" s="13" t="n"/>
      <c r="E249" s="13" t="n"/>
      <c r="F249" s="12">
        <f>IF(D249="","",IFERROR(INDEX(kb_regla_recomendacion!$G$2:$G$200,MATCH(D249,kb_regla_recomendacion!$A$2:$A$200,0)),"Regla no existe"))</f>
        <v/>
      </c>
    </row>
    <row r="250">
      <c r="A250" s="13" t="n"/>
      <c r="B250" s="13" t="n"/>
      <c r="C250" s="13" t="n"/>
      <c r="D250" s="13" t="n"/>
      <c r="E250" s="13" t="n"/>
      <c r="F250" s="12">
        <f>IF(D250="","",IFERROR(INDEX(kb_regla_recomendacion!$G$2:$G$200,MATCH(D250,kb_regla_recomendacion!$A$2:$A$200,0)),"Regla no existe"))</f>
        <v/>
      </c>
    </row>
    <row r="251">
      <c r="A251" s="13" t="n"/>
      <c r="B251" s="13" t="n"/>
      <c r="C251" s="13" t="n"/>
      <c r="D251" s="13" t="n"/>
      <c r="E251" s="13" t="n"/>
      <c r="F251" s="12">
        <f>IF(D251="","",IFERROR(INDEX(kb_regla_recomendacion!$G$2:$G$200,MATCH(D251,kb_regla_recomendacion!$A$2:$A$200,0)),"Regla no existe"))</f>
        <v/>
      </c>
    </row>
    <row r="252">
      <c r="A252" s="13" t="n"/>
      <c r="B252" s="13" t="n"/>
      <c r="C252" s="13" t="n"/>
      <c r="D252" s="13" t="n"/>
      <c r="E252" s="13" t="n"/>
      <c r="F252" s="12">
        <f>IF(D252="","",IFERROR(INDEX(kb_regla_recomendacion!$G$2:$G$200,MATCH(D252,kb_regla_recomendacion!$A$2:$A$200,0)),"Regla no existe"))</f>
        <v/>
      </c>
    </row>
    <row r="253">
      <c r="A253" s="13" t="n"/>
      <c r="B253" s="13" t="n"/>
      <c r="C253" s="13" t="n"/>
      <c r="D253" s="13" t="n"/>
      <c r="E253" s="13" t="n"/>
      <c r="F253" s="12">
        <f>IF(D253="","",IFERROR(INDEX(kb_regla_recomendacion!$G$2:$G$200,MATCH(D253,kb_regla_recomendacion!$A$2:$A$200,0)),"Regla no existe"))</f>
        <v/>
      </c>
    </row>
    <row r="254">
      <c r="A254" s="13" t="n"/>
      <c r="B254" s="13" t="n"/>
      <c r="C254" s="13" t="n"/>
      <c r="D254" s="13" t="n"/>
      <c r="E254" s="13" t="n"/>
      <c r="F254" s="12">
        <f>IF(D254="","",IFERROR(INDEX(kb_regla_recomendacion!$G$2:$G$200,MATCH(D254,kb_regla_recomendacion!$A$2:$A$200,0)),"Regla no existe"))</f>
        <v/>
      </c>
    </row>
    <row r="255">
      <c r="A255" s="13" t="n"/>
      <c r="B255" s="13" t="n"/>
      <c r="C255" s="13" t="n"/>
      <c r="D255" s="13" t="n"/>
      <c r="E255" s="13" t="n"/>
      <c r="F255" s="12">
        <f>IF(D255="","",IFERROR(INDEX(kb_regla_recomendacion!$G$2:$G$200,MATCH(D255,kb_regla_recomendacion!$A$2:$A$200,0)),"Regla no existe"))</f>
        <v/>
      </c>
    </row>
    <row r="256">
      <c r="A256" s="13" t="n"/>
      <c r="B256" s="13" t="n"/>
      <c r="C256" s="13" t="n"/>
      <c r="D256" s="13" t="n"/>
      <c r="E256" s="13" t="n"/>
      <c r="F256" s="12">
        <f>IF(D256="","",IFERROR(INDEX(kb_regla_recomendacion!$G$2:$G$200,MATCH(D256,kb_regla_recomendacion!$A$2:$A$200,0)),"Regla no existe"))</f>
        <v/>
      </c>
    </row>
    <row r="257">
      <c r="A257" s="13" t="n"/>
      <c r="B257" s="13" t="n"/>
      <c r="C257" s="13" t="n"/>
      <c r="D257" s="13" t="n"/>
      <c r="E257" s="13" t="n"/>
      <c r="F257" s="12">
        <f>IF(D257="","",IFERROR(INDEX(kb_regla_recomendacion!$G$2:$G$200,MATCH(D257,kb_regla_recomendacion!$A$2:$A$200,0)),"Regla no existe"))</f>
        <v/>
      </c>
    </row>
    <row r="258">
      <c r="A258" s="13" t="n"/>
      <c r="B258" s="13" t="n"/>
      <c r="C258" s="13" t="n"/>
      <c r="D258" s="13" t="n"/>
      <c r="E258" s="13" t="n"/>
      <c r="F258" s="12">
        <f>IF(D258="","",IFERROR(INDEX(kb_regla_recomendacion!$G$2:$G$200,MATCH(D258,kb_regla_recomendacion!$A$2:$A$200,0)),"Regla no existe"))</f>
        <v/>
      </c>
    </row>
    <row r="259">
      <c r="A259" s="13" t="n"/>
      <c r="B259" s="13" t="n"/>
      <c r="C259" s="13" t="n"/>
      <c r="D259" s="13" t="n"/>
      <c r="E259" s="13" t="n"/>
      <c r="F259" s="12">
        <f>IF(D259="","",IFERROR(INDEX(kb_regla_recomendacion!$G$2:$G$200,MATCH(D259,kb_regla_recomendacion!$A$2:$A$200,0)),"Regla no existe"))</f>
        <v/>
      </c>
    </row>
    <row r="260">
      <c r="A260" s="13" t="n"/>
      <c r="B260" s="13" t="n"/>
      <c r="C260" s="13" t="n"/>
      <c r="D260" s="13" t="n"/>
      <c r="E260" s="13" t="n"/>
      <c r="F260" s="12">
        <f>IF(D260="","",IFERROR(INDEX(kb_regla_recomendacion!$G$2:$G$200,MATCH(D260,kb_regla_recomendacion!$A$2:$A$200,0)),"Regla no existe"))</f>
        <v/>
      </c>
    </row>
    <row r="261">
      <c r="A261" s="13" t="n"/>
      <c r="B261" s="13" t="n"/>
      <c r="C261" s="13" t="n"/>
      <c r="D261" s="13" t="n"/>
      <c r="E261" s="13" t="n"/>
      <c r="F261" s="12">
        <f>IF(D261="","",IFERROR(INDEX(kb_regla_recomendacion!$G$2:$G$200,MATCH(D261,kb_regla_recomendacion!$A$2:$A$200,0)),"Regla no existe"))</f>
        <v/>
      </c>
    </row>
    <row r="262">
      <c r="A262" s="13" t="n"/>
      <c r="B262" s="13" t="n"/>
      <c r="C262" s="13" t="n"/>
      <c r="D262" s="13" t="n"/>
      <c r="E262" s="13" t="n"/>
      <c r="F262" s="12">
        <f>IF(D262="","",IFERROR(INDEX(kb_regla_recomendacion!$G$2:$G$200,MATCH(D262,kb_regla_recomendacion!$A$2:$A$200,0)),"Regla no existe"))</f>
        <v/>
      </c>
    </row>
    <row r="263">
      <c r="A263" s="13" t="n"/>
      <c r="B263" s="13" t="n"/>
      <c r="C263" s="13" t="n"/>
      <c r="D263" s="13" t="n"/>
      <c r="E263" s="13" t="n"/>
      <c r="F263" s="12">
        <f>IF(D263="","",IFERROR(INDEX(kb_regla_recomendacion!$G$2:$G$200,MATCH(D263,kb_regla_recomendacion!$A$2:$A$200,0)),"Regla no existe"))</f>
        <v/>
      </c>
    </row>
    <row r="264">
      <c r="A264" s="13" t="n"/>
      <c r="B264" s="13" t="n"/>
      <c r="C264" s="13" t="n"/>
      <c r="D264" s="13" t="n"/>
      <c r="E264" s="13" t="n"/>
      <c r="F264" s="12">
        <f>IF(D264="","",IFERROR(INDEX(kb_regla_recomendacion!$G$2:$G$200,MATCH(D264,kb_regla_recomendacion!$A$2:$A$200,0)),"Regla no existe"))</f>
        <v/>
      </c>
    </row>
    <row r="265">
      <c r="A265" s="13" t="n"/>
      <c r="B265" s="13" t="n"/>
      <c r="C265" s="13" t="n"/>
      <c r="D265" s="13" t="n"/>
      <c r="E265" s="13" t="n"/>
      <c r="F265" s="12">
        <f>IF(D265="","",IFERROR(INDEX(kb_regla_recomendacion!$G$2:$G$200,MATCH(D265,kb_regla_recomendacion!$A$2:$A$200,0)),"Regla no existe"))</f>
        <v/>
      </c>
    </row>
    <row r="266">
      <c r="A266" s="13" t="n"/>
      <c r="B266" s="13" t="n"/>
      <c r="C266" s="13" t="n"/>
      <c r="D266" s="13" t="n"/>
      <c r="E266" s="13" t="n"/>
      <c r="F266" s="12">
        <f>IF(D266="","",IFERROR(INDEX(kb_regla_recomendacion!$G$2:$G$200,MATCH(D266,kb_regla_recomendacion!$A$2:$A$200,0)),"Regla no existe"))</f>
        <v/>
      </c>
    </row>
    <row r="267">
      <c r="A267" s="13" t="n"/>
      <c r="B267" s="13" t="n"/>
      <c r="C267" s="13" t="n"/>
      <c r="D267" s="13" t="n"/>
      <c r="E267" s="13" t="n"/>
      <c r="F267" s="12">
        <f>IF(D267="","",IFERROR(INDEX(kb_regla_recomendacion!$G$2:$G$200,MATCH(D267,kb_regla_recomendacion!$A$2:$A$200,0)),"Regla no existe"))</f>
        <v/>
      </c>
    </row>
    <row r="268">
      <c r="A268" s="13" t="n"/>
      <c r="B268" s="13" t="n"/>
      <c r="C268" s="13" t="n"/>
      <c r="D268" s="13" t="n"/>
      <c r="E268" s="13" t="n"/>
      <c r="F268" s="12">
        <f>IF(D268="","",IFERROR(INDEX(kb_regla_recomendacion!$G$2:$G$200,MATCH(D268,kb_regla_recomendacion!$A$2:$A$200,0)),"Regla no existe"))</f>
        <v/>
      </c>
    </row>
    <row r="269">
      <c r="A269" s="13" t="n"/>
      <c r="B269" s="13" t="n"/>
      <c r="C269" s="13" t="n"/>
      <c r="D269" s="13" t="n"/>
      <c r="E269" s="13" t="n"/>
      <c r="F269" s="12">
        <f>IF(D269="","",IFERROR(INDEX(kb_regla_recomendacion!$G$2:$G$200,MATCH(D269,kb_regla_recomendacion!$A$2:$A$200,0)),"Regla no existe"))</f>
        <v/>
      </c>
    </row>
    <row r="270">
      <c r="A270" s="13" t="n"/>
      <c r="B270" s="13" t="n"/>
      <c r="C270" s="13" t="n"/>
      <c r="D270" s="13" t="n"/>
      <c r="E270" s="13" t="n"/>
      <c r="F270" s="12">
        <f>IF(D270="","",IFERROR(INDEX(kb_regla_recomendacion!$G$2:$G$200,MATCH(D270,kb_regla_recomendacion!$A$2:$A$200,0)),"Regla no existe"))</f>
        <v/>
      </c>
    </row>
    <row r="271">
      <c r="A271" s="13" t="n"/>
      <c r="B271" s="13" t="n"/>
      <c r="C271" s="13" t="n"/>
      <c r="D271" s="13" t="n"/>
      <c r="E271" s="13" t="n"/>
      <c r="F271" s="12">
        <f>IF(D271="","",IFERROR(INDEX(kb_regla_recomendacion!$G$2:$G$200,MATCH(D271,kb_regla_recomendacion!$A$2:$A$200,0)),"Regla no existe"))</f>
        <v/>
      </c>
    </row>
    <row r="272">
      <c r="A272" s="13" t="n"/>
      <c r="B272" s="13" t="n"/>
      <c r="C272" s="13" t="n"/>
      <c r="D272" s="13" t="n"/>
      <c r="E272" s="13" t="n"/>
      <c r="F272" s="12">
        <f>IF(D272="","",IFERROR(INDEX(kb_regla_recomendacion!$G$2:$G$200,MATCH(D272,kb_regla_recomendacion!$A$2:$A$200,0)),"Regla no existe"))</f>
        <v/>
      </c>
    </row>
    <row r="273">
      <c r="A273" s="13" t="n"/>
      <c r="B273" s="13" t="n"/>
      <c r="C273" s="13" t="n"/>
      <c r="D273" s="13" t="n"/>
      <c r="E273" s="13" t="n"/>
      <c r="F273" s="12">
        <f>IF(D273="","",IFERROR(INDEX(kb_regla_recomendacion!$G$2:$G$200,MATCH(D273,kb_regla_recomendacion!$A$2:$A$200,0)),"Regla no existe"))</f>
        <v/>
      </c>
    </row>
    <row r="274">
      <c r="A274" s="13" t="n"/>
      <c r="B274" s="13" t="n"/>
      <c r="C274" s="13" t="n"/>
      <c r="D274" s="13" t="n"/>
      <c r="E274" s="13" t="n"/>
      <c r="F274" s="12">
        <f>IF(D274="","",IFERROR(INDEX(kb_regla_recomendacion!$G$2:$G$200,MATCH(D274,kb_regla_recomendacion!$A$2:$A$200,0)),"Regla no existe"))</f>
        <v/>
      </c>
    </row>
    <row r="275">
      <c r="A275" s="13" t="n"/>
      <c r="B275" s="13" t="n"/>
      <c r="C275" s="13" t="n"/>
      <c r="D275" s="13" t="n"/>
      <c r="E275" s="13" t="n"/>
      <c r="F275" s="12">
        <f>IF(D275="","",IFERROR(INDEX(kb_regla_recomendacion!$G$2:$G$200,MATCH(D275,kb_regla_recomendacion!$A$2:$A$200,0)),"Regla no existe"))</f>
        <v/>
      </c>
    </row>
    <row r="276">
      <c r="A276" s="13" t="n"/>
      <c r="B276" s="13" t="n"/>
      <c r="C276" s="13" t="n"/>
      <c r="D276" s="13" t="n"/>
      <c r="E276" s="13" t="n"/>
      <c r="F276" s="12">
        <f>IF(D276="","",IFERROR(INDEX(kb_regla_recomendacion!$G$2:$G$200,MATCH(D276,kb_regla_recomendacion!$A$2:$A$200,0)),"Regla no existe"))</f>
        <v/>
      </c>
    </row>
    <row r="277">
      <c r="A277" s="13" t="n"/>
      <c r="B277" s="13" t="n"/>
      <c r="C277" s="13" t="n"/>
      <c r="D277" s="13" t="n"/>
      <c r="E277" s="13" t="n"/>
      <c r="F277" s="12">
        <f>IF(D277="","",IFERROR(INDEX(kb_regla_recomendacion!$G$2:$G$200,MATCH(D277,kb_regla_recomendacion!$A$2:$A$200,0)),"Regla no existe"))</f>
        <v/>
      </c>
    </row>
    <row r="278">
      <c r="A278" s="13" t="n"/>
      <c r="B278" s="13" t="n"/>
      <c r="C278" s="13" t="n"/>
      <c r="D278" s="13" t="n"/>
      <c r="E278" s="13" t="n"/>
      <c r="F278" s="12">
        <f>IF(D278="","",IFERROR(INDEX(kb_regla_recomendacion!$G$2:$G$200,MATCH(D278,kb_regla_recomendacion!$A$2:$A$200,0)),"Regla no existe"))</f>
        <v/>
      </c>
    </row>
    <row r="279">
      <c r="A279" s="13" t="n"/>
      <c r="B279" s="13" t="n"/>
      <c r="C279" s="13" t="n"/>
      <c r="D279" s="13" t="n"/>
      <c r="E279" s="13" t="n"/>
      <c r="F279" s="12">
        <f>IF(D279="","",IFERROR(INDEX(kb_regla_recomendacion!$G$2:$G$200,MATCH(D279,kb_regla_recomendacion!$A$2:$A$200,0)),"Regla no existe"))</f>
        <v/>
      </c>
    </row>
    <row r="280">
      <c r="A280" s="13" t="n"/>
      <c r="B280" s="13" t="n"/>
      <c r="C280" s="13" t="n"/>
      <c r="D280" s="13" t="n"/>
      <c r="E280" s="13" t="n"/>
      <c r="F280" s="12">
        <f>IF(D280="","",IFERROR(INDEX(kb_regla_recomendacion!$G$2:$G$200,MATCH(D280,kb_regla_recomendacion!$A$2:$A$200,0)),"Regla no existe"))</f>
        <v/>
      </c>
    </row>
    <row r="281">
      <c r="A281" s="13" t="n"/>
      <c r="B281" s="13" t="n"/>
      <c r="C281" s="13" t="n"/>
      <c r="D281" s="13" t="n"/>
      <c r="E281" s="13" t="n"/>
      <c r="F281" s="12">
        <f>IF(D281="","",IFERROR(INDEX(kb_regla_recomendacion!$G$2:$G$200,MATCH(D281,kb_regla_recomendacion!$A$2:$A$200,0)),"Regla no existe"))</f>
        <v/>
      </c>
    </row>
    <row r="282">
      <c r="A282" s="13" t="n"/>
      <c r="B282" s="13" t="n"/>
      <c r="C282" s="13" t="n"/>
      <c r="D282" s="13" t="n"/>
      <c r="E282" s="13" t="n"/>
      <c r="F282" s="12">
        <f>IF(D282="","",IFERROR(INDEX(kb_regla_recomendacion!$G$2:$G$200,MATCH(D282,kb_regla_recomendacion!$A$2:$A$200,0)),"Regla no existe"))</f>
        <v/>
      </c>
    </row>
    <row r="283">
      <c r="A283" s="13" t="n"/>
      <c r="B283" s="13" t="n"/>
      <c r="C283" s="13" t="n"/>
      <c r="D283" s="13" t="n"/>
      <c r="E283" s="13" t="n"/>
      <c r="F283" s="12">
        <f>IF(D283="","",IFERROR(INDEX(kb_regla_recomendacion!$G$2:$G$200,MATCH(D283,kb_regla_recomendacion!$A$2:$A$200,0)),"Regla no existe"))</f>
        <v/>
      </c>
    </row>
    <row r="284">
      <c r="A284" s="13" t="n"/>
      <c r="B284" s="13" t="n"/>
      <c r="C284" s="13" t="n"/>
      <c r="D284" s="13" t="n"/>
      <c r="E284" s="13" t="n"/>
      <c r="F284" s="12">
        <f>IF(D284="","",IFERROR(INDEX(kb_regla_recomendacion!$G$2:$G$200,MATCH(D284,kb_regla_recomendacion!$A$2:$A$200,0)),"Regla no existe"))</f>
        <v/>
      </c>
    </row>
    <row r="285">
      <c r="A285" s="13" t="n"/>
      <c r="B285" s="13" t="n"/>
      <c r="C285" s="13" t="n"/>
      <c r="D285" s="13" t="n"/>
      <c r="E285" s="13" t="n"/>
      <c r="F285" s="12">
        <f>IF(D285="","",IFERROR(INDEX(kb_regla_recomendacion!$G$2:$G$200,MATCH(D285,kb_regla_recomendacion!$A$2:$A$200,0)),"Regla no existe"))</f>
        <v/>
      </c>
    </row>
    <row r="286">
      <c r="A286" s="13" t="n"/>
      <c r="B286" s="13" t="n"/>
      <c r="C286" s="13" t="n"/>
      <c r="D286" s="13" t="n"/>
      <c r="E286" s="13" t="n"/>
      <c r="F286" s="12">
        <f>IF(D286="","",IFERROR(INDEX(kb_regla_recomendacion!$G$2:$G$200,MATCH(D286,kb_regla_recomendacion!$A$2:$A$200,0)),"Regla no existe"))</f>
        <v/>
      </c>
    </row>
    <row r="287">
      <c r="A287" s="13" t="n"/>
      <c r="B287" s="13" t="n"/>
      <c r="C287" s="13" t="n"/>
      <c r="D287" s="13" t="n"/>
      <c r="E287" s="13" t="n"/>
      <c r="F287" s="12">
        <f>IF(D287="","",IFERROR(INDEX(kb_regla_recomendacion!$G$2:$G$200,MATCH(D287,kb_regla_recomendacion!$A$2:$A$200,0)),"Regla no existe"))</f>
        <v/>
      </c>
    </row>
    <row r="288">
      <c r="A288" s="13" t="n"/>
      <c r="B288" s="13" t="n"/>
      <c r="C288" s="13" t="n"/>
      <c r="D288" s="13" t="n"/>
      <c r="E288" s="13" t="n"/>
      <c r="F288" s="12">
        <f>IF(D288="","",IFERROR(INDEX(kb_regla_recomendacion!$G$2:$G$200,MATCH(D288,kb_regla_recomendacion!$A$2:$A$200,0)),"Regla no existe"))</f>
        <v/>
      </c>
    </row>
    <row r="289">
      <c r="A289" s="13" t="n"/>
      <c r="B289" s="13" t="n"/>
      <c r="C289" s="13" t="n"/>
      <c r="D289" s="13" t="n"/>
      <c r="E289" s="13" t="n"/>
      <c r="F289" s="12">
        <f>IF(D289="","",IFERROR(INDEX(kb_regla_recomendacion!$G$2:$G$200,MATCH(D289,kb_regla_recomendacion!$A$2:$A$200,0)),"Regla no existe"))</f>
        <v/>
      </c>
    </row>
    <row r="290">
      <c r="A290" s="13" t="n"/>
      <c r="B290" s="13" t="n"/>
      <c r="C290" s="13" t="n"/>
      <c r="D290" s="13" t="n"/>
      <c r="E290" s="13" t="n"/>
      <c r="F290" s="12">
        <f>IF(D290="","",IFERROR(INDEX(kb_regla_recomendacion!$G$2:$G$200,MATCH(D290,kb_regla_recomendacion!$A$2:$A$200,0)),"Regla no existe"))</f>
        <v/>
      </c>
    </row>
    <row r="291">
      <c r="A291" s="13" t="n"/>
      <c r="B291" s="13" t="n"/>
      <c r="C291" s="13" t="n"/>
      <c r="D291" s="13" t="n"/>
      <c r="E291" s="13" t="n"/>
      <c r="F291" s="12">
        <f>IF(D291="","",IFERROR(INDEX(kb_regla_recomendacion!$G$2:$G$200,MATCH(D291,kb_regla_recomendacion!$A$2:$A$200,0)),"Regla no existe"))</f>
        <v/>
      </c>
    </row>
    <row r="292">
      <c r="A292" s="13" t="n"/>
      <c r="B292" s="13" t="n"/>
      <c r="C292" s="13" t="n"/>
      <c r="D292" s="13" t="n"/>
      <c r="E292" s="13" t="n"/>
      <c r="F292" s="12">
        <f>IF(D292="","",IFERROR(INDEX(kb_regla_recomendacion!$G$2:$G$200,MATCH(D292,kb_regla_recomendacion!$A$2:$A$200,0)),"Regla no existe"))</f>
        <v/>
      </c>
    </row>
    <row r="293">
      <c r="A293" s="13" t="n"/>
      <c r="B293" s="13" t="n"/>
      <c r="C293" s="13" t="n"/>
      <c r="D293" s="13" t="n"/>
      <c r="E293" s="13" t="n"/>
      <c r="F293" s="12">
        <f>IF(D293="","",IFERROR(INDEX(kb_regla_recomendacion!$G$2:$G$200,MATCH(D293,kb_regla_recomendacion!$A$2:$A$200,0)),"Regla no existe"))</f>
        <v/>
      </c>
    </row>
    <row r="294">
      <c r="A294" s="13" t="n"/>
      <c r="B294" s="13" t="n"/>
      <c r="C294" s="13" t="n"/>
      <c r="D294" s="13" t="n"/>
      <c r="E294" s="13" t="n"/>
      <c r="F294" s="12">
        <f>IF(D294="","",IFERROR(INDEX(kb_regla_recomendacion!$G$2:$G$200,MATCH(D294,kb_regla_recomendacion!$A$2:$A$200,0)),"Regla no existe"))</f>
        <v/>
      </c>
    </row>
    <row r="295">
      <c r="A295" s="13" t="n"/>
      <c r="B295" s="13" t="n"/>
      <c r="C295" s="13" t="n"/>
      <c r="D295" s="13" t="n"/>
      <c r="E295" s="13" t="n"/>
      <c r="F295" s="12">
        <f>IF(D295="","",IFERROR(INDEX(kb_regla_recomendacion!$G$2:$G$200,MATCH(D295,kb_regla_recomendacion!$A$2:$A$200,0)),"Regla no existe"))</f>
        <v/>
      </c>
    </row>
    <row r="296">
      <c r="A296" s="13" t="n"/>
      <c r="B296" s="13" t="n"/>
      <c r="C296" s="13" t="n"/>
      <c r="D296" s="13" t="n"/>
      <c r="E296" s="13" t="n"/>
      <c r="F296" s="12">
        <f>IF(D296="","",IFERROR(INDEX(kb_regla_recomendacion!$G$2:$G$200,MATCH(D296,kb_regla_recomendacion!$A$2:$A$200,0)),"Regla no existe"))</f>
        <v/>
      </c>
    </row>
    <row r="297">
      <c r="A297" s="13" t="n"/>
      <c r="B297" s="13" t="n"/>
      <c r="C297" s="13" t="n"/>
      <c r="D297" s="13" t="n"/>
      <c r="E297" s="13" t="n"/>
      <c r="F297" s="12">
        <f>IF(D297="","",IFERROR(INDEX(kb_regla_recomendacion!$G$2:$G$200,MATCH(D297,kb_regla_recomendacion!$A$2:$A$200,0)),"Regla no existe"))</f>
        <v/>
      </c>
    </row>
    <row r="298">
      <c r="A298" s="13" t="n"/>
      <c r="B298" s="13" t="n"/>
      <c r="C298" s="13" t="n"/>
      <c r="D298" s="13" t="n"/>
      <c r="E298" s="13" t="n"/>
      <c r="F298" s="12">
        <f>IF(D298="","",IFERROR(INDEX(kb_regla_recomendacion!$G$2:$G$200,MATCH(D298,kb_regla_recomendacion!$A$2:$A$200,0)),"Regla no existe"))</f>
        <v/>
      </c>
    </row>
    <row r="299">
      <c r="A299" s="13" t="n"/>
      <c r="B299" s="13" t="n"/>
      <c r="C299" s="13" t="n"/>
      <c r="D299" s="13" t="n"/>
      <c r="E299" s="13" t="n"/>
      <c r="F299" s="12">
        <f>IF(D299="","",IFERROR(INDEX(kb_regla_recomendacion!$G$2:$G$200,MATCH(D299,kb_regla_recomendacion!$A$2:$A$200,0)),"Regla no existe"))</f>
        <v/>
      </c>
    </row>
    <row r="300">
      <c r="A300" s="13" t="n"/>
      <c r="B300" s="13" t="n"/>
      <c r="C300" s="13" t="n"/>
      <c r="D300" s="13" t="n"/>
      <c r="E300" s="13" t="n"/>
      <c r="F300" s="12">
        <f>IF(D300="","",IFERROR(INDEX(kb_regla_recomendacion!$G$2:$G$200,MATCH(D300,kb_regla_recomendacion!$A$2:$A$200,0)),"Regla no existe"))</f>
        <v/>
      </c>
    </row>
    <row r="301">
      <c r="A301" s="13" t="n"/>
      <c r="B301" s="13" t="n"/>
      <c r="C301" s="13" t="n"/>
      <c r="D301" s="13" t="n"/>
      <c r="E301" s="13" t="n"/>
      <c r="F301" s="12">
        <f>IF(D301="","",IFERROR(INDEX(kb_regla_recomendacion!$G$2:$G$200,MATCH(D301,kb_regla_recomendacion!$A$2:$A$200,0)),"Regla no existe"))</f>
        <v/>
      </c>
    </row>
    <row r="302">
      <c r="A302" s="13" t="n"/>
      <c r="B302" s="13" t="n"/>
      <c r="C302" s="13" t="n"/>
      <c r="D302" s="13" t="n"/>
      <c r="E302" s="13" t="n"/>
      <c r="F302" s="12">
        <f>IF(D302="","",IFERROR(INDEX(kb_regla_recomendacion!$G$2:$G$200,MATCH(D302,kb_regla_recomendacion!$A$2:$A$200,0)),"Regla no existe"))</f>
        <v/>
      </c>
    </row>
    <row r="303">
      <c r="A303" s="13" t="n"/>
      <c r="B303" s="13" t="n"/>
      <c r="C303" s="13" t="n"/>
      <c r="D303" s="13" t="n"/>
      <c r="E303" s="13" t="n"/>
      <c r="F303" s="12">
        <f>IF(D303="","",IFERROR(INDEX(kb_regla_recomendacion!$G$2:$G$200,MATCH(D303,kb_regla_recomendacion!$A$2:$A$200,0)),"Regla no existe"))</f>
        <v/>
      </c>
    </row>
    <row r="304">
      <c r="A304" s="13" t="n"/>
      <c r="B304" s="13" t="n"/>
      <c r="C304" s="13" t="n"/>
      <c r="D304" s="13" t="n"/>
      <c r="E304" s="13" t="n"/>
      <c r="F304" s="12">
        <f>IF(D304="","",IFERROR(INDEX(kb_regla_recomendacion!$G$2:$G$200,MATCH(D304,kb_regla_recomendacion!$A$2:$A$200,0)),"Regla no existe"))</f>
        <v/>
      </c>
    </row>
    <row r="305">
      <c r="A305" s="13" t="n"/>
      <c r="B305" s="13" t="n"/>
      <c r="C305" s="13" t="n"/>
      <c r="D305" s="13" t="n"/>
      <c r="E305" s="13" t="n"/>
      <c r="F305" s="12">
        <f>IF(D305="","",IFERROR(INDEX(kb_regla_recomendacion!$G$2:$G$200,MATCH(D305,kb_regla_recomendacion!$A$2:$A$200,0)),"Regla no existe"))</f>
        <v/>
      </c>
    </row>
    <row r="306">
      <c r="A306" s="13" t="n"/>
      <c r="B306" s="13" t="n"/>
      <c r="C306" s="13" t="n"/>
      <c r="D306" s="13" t="n"/>
      <c r="E306" s="13" t="n"/>
      <c r="F306" s="12">
        <f>IF(D306="","",IFERROR(INDEX(kb_regla_recomendacion!$G$2:$G$200,MATCH(D306,kb_regla_recomendacion!$A$2:$A$200,0)),"Regla no existe"))</f>
        <v/>
      </c>
    </row>
    <row r="307">
      <c r="A307" s="13" t="n"/>
      <c r="B307" s="13" t="n"/>
      <c r="C307" s="13" t="n"/>
      <c r="D307" s="13" t="n"/>
      <c r="E307" s="13" t="n"/>
      <c r="F307" s="12">
        <f>IF(D307="","",IFERROR(INDEX(kb_regla_recomendacion!$G$2:$G$200,MATCH(D307,kb_regla_recomendacion!$A$2:$A$200,0)),"Regla no existe"))</f>
        <v/>
      </c>
    </row>
    <row r="308">
      <c r="A308" s="13" t="n"/>
      <c r="B308" s="13" t="n"/>
      <c r="C308" s="13" t="n"/>
      <c r="D308" s="13" t="n"/>
      <c r="E308" s="13" t="n"/>
      <c r="F308" s="12">
        <f>IF(D308="","",IFERROR(INDEX(kb_regla_recomendacion!$G$2:$G$200,MATCH(D308,kb_regla_recomendacion!$A$2:$A$200,0)),"Regla no existe"))</f>
        <v/>
      </c>
    </row>
    <row r="309">
      <c r="A309" s="13" t="n"/>
      <c r="B309" s="13" t="n"/>
      <c r="C309" s="13" t="n"/>
      <c r="D309" s="13" t="n"/>
      <c r="E309" s="13" t="n"/>
      <c r="F309" s="12">
        <f>IF(D309="","",IFERROR(INDEX(kb_regla_recomendacion!$G$2:$G$200,MATCH(D309,kb_regla_recomendacion!$A$2:$A$200,0)),"Regla no existe"))</f>
        <v/>
      </c>
    </row>
    <row r="310">
      <c r="A310" s="13" t="n"/>
      <c r="B310" s="13" t="n"/>
      <c r="C310" s="13" t="n"/>
      <c r="D310" s="13" t="n"/>
      <c r="E310" s="13" t="n"/>
      <c r="F310" s="12">
        <f>IF(D310="","",IFERROR(INDEX(kb_regla_recomendacion!$G$2:$G$200,MATCH(D310,kb_regla_recomendacion!$A$2:$A$200,0)),"Regla no existe"))</f>
        <v/>
      </c>
    </row>
    <row r="311">
      <c r="A311" s="13" t="n"/>
      <c r="B311" s="13" t="n"/>
      <c r="C311" s="13" t="n"/>
      <c r="D311" s="13" t="n"/>
      <c r="E311" s="13" t="n"/>
      <c r="F311" s="12">
        <f>IF(D311="","",IFERROR(INDEX(kb_regla_recomendacion!$G$2:$G$200,MATCH(D311,kb_regla_recomendacion!$A$2:$A$200,0)),"Regla no existe"))</f>
        <v/>
      </c>
    </row>
    <row r="312">
      <c r="A312" s="13" t="n"/>
      <c r="B312" s="13" t="n"/>
      <c r="C312" s="13" t="n"/>
      <c r="D312" s="13" t="n"/>
      <c r="E312" s="13" t="n"/>
      <c r="F312" s="12">
        <f>IF(D312="","",IFERROR(INDEX(kb_regla_recomendacion!$G$2:$G$200,MATCH(D312,kb_regla_recomendacion!$A$2:$A$200,0)),"Regla no existe"))</f>
        <v/>
      </c>
    </row>
    <row r="313">
      <c r="A313" s="13" t="n"/>
      <c r="B313" s="13" t="n"/>
      <c r="C313" s="13" t="n"/>
      <c r="D313" s="13" t="n"/>
      <c r="E313" s="13" t="n"/>
      <c r="F313" s="12">
        <f>IF(D313="","",IFERROR(INDEX(kb_regla_recomendacion!$G$2:$G$200,MATCH(D313,kb_regla_recomendacion!$A$2:$A$200,0)),"Regla no existe"))</f>
        <v/>
      </c>
    </row>
    <row r="314">
      <c r="A314" s="13" t="n"/>
      <c r="B314" s="13" t="n"/>
      <c r="C314" s="13" t="n"/>
      <c r="D314" s="13" t="n"/>
      <c r="E314" s="13" t="n"/>
      <c r="F314" s="12">
        <f>IF(D314="","",IFERROR(INDEX(kb_regla_recomendacion!$G$2:$G$200,MATCH(D314,kb_regla_recomendacion!$A$2:$A$200,0)),"Regla no existe"))</f>
        <v/>
      </c>
    </row>
    <row r="315">
      <c r="A315" s="13" t="n"/>
      <c r="B315" s="13" t="n"/>
      <c r="C315" s="13" t="n"/>
      <c r="D315" s="13" t="n"/>
      <c r="E315" s="13" t="n"/>
      <c r="F315" s="12">
        <f>IF(D315="","",IFERROR(INDEX(kb_regla_recomendacion!$G$2:$G$200,MATCH(D315,kb_regla_recomendacion!$A$2:$A$200,0)),"Regla no existe"))</f>
        <v/>
      </c>
    </row>
    <row r="316">
      <c r="A316" s="13" t="n"/>
      <c r="B316" s="13" t="n"/>
      <c r="C316" s="13" t="n"/>
      <c r="D316" s="13" t="n"/>
      <c r="E316" s="13" t="n"/>
      <c r="F316" s="12">
        <f>IF(D316="","",IFERROR(INDEX(kb_regla_recomendacion!$G$2:$G$200,MATCH(D316,kb_regla_recomendacion!$A$2:$A$200,0)),"Regla no existe"))</f>
        <v/>
      </c>
    </row>
    <row r="317">
      <c r="A317" s="13" t="n"/>
      <c r="B317" s="13" t="n"/>
      <c r="C317" s="13" t="n"/>
      <c r="D317" s="13" t="n"/>
      <c r="E317" s="13" t="n"/>
      <c r="F317" s="12">
        <f>IF(D317="","",IFERROR(INDEX(kb_regla_recomendacion!$G$2:$G$200,MATCH(D317,kb_regla_recomendacion!$A$2:$A$200,0)),"Regla no existe"))</f>
        <v/>
      </c>
    </row>
    <row r="318">
      <c r="A318" s="13" t="n"/>
      <c r="B318" s="13" t="n"/>
      <c r="C318" s="13" t="n"/>
      <c r="D318" s="13" t="n"/>
      <c r="E318" s="13" t="n"/>
      <c r="F318" s="12">
        <f>IF(D318="","",IFERROR(INDEX(kb_regla_recomendacion!$G$2:$G$200,MATCH(D318,kb_regla_recomendacion!$A$2:$A$200,0)),"Regla no existe"))</f>
        <v/>
      </c>
    </row>
    <row r="319">
      <c r="A319" s="13" t="n"/>
      <c r="B319" s="13" t="n"/>
      <c r="C319" s="13" t="n"/>
      <c r="D319" s="13" t="n"/>
      <c r="E319" s="13" t="n"/>
      <c r="F319" s="12">
        <f>IF(D319="","",IFERROR(INDEX(kb_regla_recomendacion!$G$2:$G$200,MATCH(D319,kb_regla_recomendacion!$A$2:$A$200,0)),"Regla no existe"))</f>
        <v/>
      </c>
    </row>
    <row r="320">
      <c r="A320" s="13" t="n"/>
      <c r="B320" s="13" t="n"/>
      <c r="C320" s="13" t="n"/>
      <c r="D320" s="13" t="n"/>
      <c r="E320" s="13" t="n"/>
      <c r="F320" s="12">
        <f>IF(D320="","",IFERROR(INDEX(kb_regla_recomendacion!$G$2:$G$200,MATCH(D320,kb_regla_recomendacion!$A$2:$A$200,0)),"Regla no existe"))</f>
        <v/>
      </c>
    </row>
    <row r="321">
      <c r="A321" s="13" t="n"/>
      <c r="B321" s="13" t="n"/>
      <c r="C321" s="13" t="n"/>
      <c r="D321" s="13" t="n"/>
      <c r="E321" s="13" t="n"/>
      <c r="F321" s="12">
        <f>IF(D321="","",IFERROR(INDEX(kb_regla_recomendacion!$G$2:$G$200,MATCH(D321,kb_regla_recomendacion!$A$2:$A$200,0)),"Regla no existe"))</f>
        <v/>
      </c>
    </row>
    <row r="322">
      <c r="A322" s="13" t="n"/>
      <c r="B322" s="13" t="n"/>
      <c r="C322" s="13" t="n"/>
      <c r="D322" s="13" t="n"/>
      <c r="E322" s="13" t="n"/>
      <c r="F322" s="12">
        <f>IF(D322="","",IFERROR(INDEX(kb_regla_recomendacion!$G$2:$G$200,MATCH(D322,kb_regla_recomendacion!$A$2:$A$200,0)),"Regla no existe"))</f>
        <v/>
      </c>
    </row>
    <row r="323">
      <c r="A323" s="13" t="n"/>
      <c r="B323" s="13" t="n"/>
      <c r="C323" s="13" t="n"/>
      <c r="D323" s="13" t="n"/>
      <c r="E323" s="13" t="n"/>
      <c r="F323" s="12">
        <f>IF(D323="","",IFERROR(INDEX(kb_regla_recomendacion!$G$2:$G$200,MATCH(D323,kb_regla_recomendacion!$A$2:$A$200,0)),"Regla no existe"))</f>
        <v/>
      </c>
    </row>
    <row r="324">
      <c r="A324" s="13" t="n"/>
      <c r="B324" s="13" t="n"/>
      <c r="C324" s="13" t="n"/>
      <c r="D324" s="13" t="n"/>
      <c r="E324" s="13" t="n"/>
      <c r="F324" s="12">
        <f>IF(D324="","",IFERROR(INDEX(kb_regla_recomendacion!$G$2:$G$200,MATCH(D324,kb_regla_recomendacion!$A$2:$A$200,0)),"Regla no existe"))</f>
        <v/>
      </c>
    </row>
    <row r="325">
      <c r="A325" s="13" t="n"/>
      <c r="B325" s="13" t="n"/>
      <c r="C325" s="13" t="n"/>
      <c r="D325" s="13" t="n"/>
      <c r="E325" s="13" t="n"/>
      <c r="F325" s="12">
        <f>IF(D325="","",IFERROR(INDEX(kb_regla_recomendacion!$G$2:$G$200,MATCH(D325,kb_regla_recomendacion!$A$2:$A$200,0)),"Regla no existe"))</f>
        <v/>
      </c>
    </row>
    <row r="326">
      <c r="A326" s="13" t="n"/>
      <c r="B326" s="13" t="n"/>
      <c r="C326" s="13" t="n"/>
      <c r="D326" s="13" t="n"/>
      <c r="E326" s="13" t="n"/>
      <c r="F326" s="12">
        <f>IF(D326="","",IFERROR(INDEX(kb_regla_recomendacion!$G$2:$G$200,MATCH(D326,kb_regla_recomendacion!$A$2:$A$200,0)),"Regla no existe"))</f>
        <v/>
      </c>
    </row>
    <row r="327">
      <c r="A327" s="13" t="n"/>
      <c r="B327" s="13" t="n"/>
      <c r="C327" s="13" t="n"/>
      <c r="D327" s="13" t="n"/>
      <c r="E327" s="13" t="n"/>
      <c r="F327" s="12">
        <f>IF(D327="","",IFERROR(INDEX(kb_regla_recomendacion!$G$2:$G$200,MATCH(D327,kb_regla_recomendacion!$A$2:$A$200,0)),"Regla no existe"))</f>
        <v/>
      </c>
    </row>
    <row r="328">
      <c r="A328" s="13" t="n"/>
      <c r="B328" s="13" t="n"/>
      <c r="C328" s="13" t="n"/>
      <c r="D328" s="13" t="n"/>
      <c r="E328" s="13" t="n"/>
      <c r="F328" s="12">
        <f>IF(D328="","",IFERROR(INDEX(kb_regla_recomendacion!$G$2:$G$200,MATCH(D328,kb_regla_recomendacion!$A$2:$A$200,0)),"Regla no existe"))</f>
        <v/>
      </c>
    </row>
    <row r="329">
      <c r="A329" s="13" t="n"/>
      <c r="B329" s="13" t="n"/>
      <c r="C329" s="13" t="n"/>
      <c r="D329" s="13" t="n"/>
      <c r="E329" s="13" t="n"/>
      <c r="F329" s="12">
        <f>IF(D329="","",IFERROR(INDEX(kb_regla_recomendacion!$G$2:$G$200,MATCH(D329,kb_regla_recomendacion!$A$2:$A$200,0)),"Regla no existe"))</f>
        <v/>
      </c>
    </row>
    <row r="330">
      <c r="A330" s="13" t="n"/>
      <c r="B330" s="13" t="n"/>
      <c r="C330" s="13" t="n"/>
      <c r="D330" s="13" t="n"/>
      <c r="E330" s="13" t="n"/>
      <c r="F330" s="12">
        <f>IF(D330="","",IFERROR(INDEX(kb_regla_recomendacion!$G$2:$G$200,MATCH(D330,kb_regla_recomendacion!$A$2:$A$200,0)),"Regla no existe"))</f>
        <v/>
      </c>
    </row>
    <row r="331">
      <c r="A331" s="13" t="n"/>
      <c r="B331" s="13" t="n"/>
      <c r="C331" s="13" t="n"/>
      <c r="D331" s="13" t="n"/>
      <c r="E331" s="13" t="n"/>
      <c r="F331" s="12">
        <f>IF(D331="","",IFERROR(INDEX(kb_regla_recomendacion!$G$2:$G$200,MATCH(D331,kb_regla_recomendacion!$A$2:$A$200,0)),"Regla no existe"))</f>
        <v/>
      </c>
    </row>
    <row r="332">
      <c r="A332" s="13" t="n"/>
      <c r="B332" s="13" t="n"/>
      <c r="C332" s="13" t="n"/>
      <c r="D332" s="13" t="n"/>
      <c r="E332" s="13" t="n"/>
      <c r="F332" s="12">
        <f>IF(D332="","",IFERROR(INDEX(kb_regla_recomendacion!$G$2:$G$200,MATCH(D332,kb_regla_recomendacion!$A$2:$A$200,0)),"Regla no existe"))</f>
        <v/>
      </c>
    </row>
    <row r="333">
      <c r="A333" s="13" t="n"/>
      <c r="B333" s="13" t="n"/>
      <c r="C333" s="13" t="n"/>
      <c r="D333" s="13" t="n"/>
      <c r="E333" s="13" t="n"/>
      <c r="F333" s="12">
        <f>IF(D333="","",IFERROR(INDEX(kb_regla_recomendacion!$G$2:$G$200,MATCH(D333,kb_regla_recomendacion!$A$2:$A$200,0)),"Regla no existe"))</f>
        <v/>
      </c>
    </row>
    <row r="334">
      <c r="A334" s="13" t="n"/>
      <c r="B334" s="13" t="n"/>
      <c r="C334" s="13" t="n"/>
      <c r="D334" s="13" t="n"/>
      <c r="E334" s="13" t="n"/>
      <c r="F334" s="12">
        <f>IF(D334="","",IFERROR(INDEX(kb_regla_recomendacion!$G$2:$G$200,MATCH(D334,kb_regla_recomendacion!$A$2:$A$200,0)),"Regla no existe"))</f>
        <v/>
      </c>
    </row>
    <row r="335">
      <c r="A335" s="13" t="n"/>
      <c r="B335" s="13" t="n"/>
      <c r="C335" s="13" t="n"/>
      <c r="D335" s="13" t="n"/>
      <c r="E335" s="13" t="n"/>
      <c r="F335" s="12">
        <f>IF(D335="","",IFERROR(INDEX(kb_regla_recomendacion!$G$2:$G$200,MATCH(D335,kb_regla_recomendacion!$A$2:$A$200,0)),"Regla no existe"))</f>
        <v/>
      </c>
    </row>
    <row r="336">
      <c r="A336" s="13" t="n"/>
      <c r="B336" s="13" t="n"/>
      <c r="C336" s="13" t="n"/>
      <c r="D336" s="13" t="n"/>
      <c r="E336" s="13" t="n"/>
      <c r="F336" s="12">
        <f>IF(D336="","",IFERROR(INDEX(kb_regla_recomendacion!$G$2:$G$200,MATCH(D336,kb_regla_recomendacion!$A$2:$A$200,0)),"Regla no existe"))</f>
        <v/>
      </c>
    </row>
    <row r="337">
      <c r="A337" s="13" t="n"/>
      <c r="B337" s="13" t="n"/>
      <c r="C337" s="13" t="n"/>
      <c r="D337" s="13" t="n"/>
      <c r="E337" s="13" t="n"/>
      <c r="F337" s="12">
        <f>IF(D337="","",IFERROR(INDEX(kb_regla_recomendacion!$G$2:$G$200,MATCH(D337,kb_regla_recomendacion!$A$2:$A$200,0)),"Regla no existe"))</f>
        <v/>
      </c>
    </row>
    <row r="338">
      <c r="A338" s="13" t="n"/>
      <c r="B338" s="13" t="n"/>
      <c r="C338" s="13" t="n"/>
      <c r="D338" s="13" t="n"/>
      <c r="E338" s="13" t="n"/>
      <c r="F338" s="12">
        <f>IF(D338="","",IFERROR(INDEX(kb_regla_recomendacion!$G$2:$G$200,MATCH(D338,kb_regla_recomendacion!$A$2:$A$200,0)),"Regla no existe"))</f>
        <v/>
      </c>
    </row>
    <row r="339">
      <c r="A339" s="13" t="n"/>
      <c r="B339" s="13" t="n"/>
      <c r="C339" s="13" t="n"/>
      <c r="D339" s="13" t="n"/>
      <c r="E339" s="13" t="n"/>
      <c r="F339" s="12">
        <f>IF(D339="","",IFERROR(INDEX(kb_regla_recomendacion!$G$2:$G$200,MATCH(D339,kb_regla_recomendacion!$A$2:$A$200,0)),"Regla no existe"))</f>
        <v/>
      </c>
    </row>
    <row r="340">
      <c r="A340" s="13" t="n"/>
      <c r="B340" s="13" t="n"/>
      <c r="C340" s="13" t="n"/>
      <c r="D340" s="13" t="n"/>
      <c r="E340" s="13" t="n"/>
      <c r="F340" s="12">
        <f>IF(D340="","",IFERROR(INDEX(kb_regla_recomendacion!$G$2:$G$200,MATCH(D340,kb_regla_recomendacion!$A$2:$A$200,0)),"Regla no existe"))</f>
        <v/>
      </c>
    </row>
    <row r="341">
      <c r="A341" s="13" t="n"/>
      <c r="B341" s="13" t="n"/>
      <c r="C341" s="13" t="n"/>
      <c r="D341" s="13" t="n"/>
      <c r="E341" s="13" t="n"/>
      <c r="F341" s="12">
        <f>IF(D341="","",IFERROR(INDEX(kb_regla_recomendacion!$G$2:$G$200,MATCH(D341,kb_regla_recomendacion!$A$2:$A$200,0)),"Regla no existe"))</f>
        <v/>
      </c>
    </row>
    <row r="342">
      <c r="A342" s="13" t="n"/>
      <c r="B342" s="13" t="n"/>
      <c r="C342" s="13" t="n"/>
      <c r="D342" s="13" t="n"/>
      <c r="E342" s="13" t="n"/>
      <c r="F342" s="12">
        <f>IF(D342="","",IFERROR(INDEX(kb_regla_recomendacion!$G$2:$G$200,MATCH(D342,kb_regla_recomendacion!$A$2:$A$200,0)),"Regla no existe"))</f>
        <v/>
      </c>
    </row>
    <row r="343">
      <c r="A343" s="13" t="n"/>
      <c r="B343" s="13" t="n"/>
      <c r="C343" s="13" t="n"/>
      <c r="D343" s="13" t="n"/>
      <c r="E343" s="13" t="n"/>
      <c r="F343" s="12">
        <f>IF(D343="","",IFERROR(INDEX(kb_regla_recomendacion!$G$2:$G$200,MATCH(D343,kb_regla_recomendacion!$A$2:$A$200,0)),"Regla no existe"))</f>
        <v/>
      </c>
    </row>
    <row r="344">
      <c r="A344" s="13" t="n"/>
      <c r="B344" s="13" t="n"/>
      <c r="C344" s="13" t="n"/>
      <c r="D344" s="13" t="n"/>
      <c r="E344" s="13" t="n"/>
      <c r="F344" s="12">
        <f>IF(D344="","",IFERROR(INDEX(kb_regla_recomendacion!$G$2:$G$200,MATCH(D344,kb_regla_recomendacion!$A$2:$A$200,0)),"Regla no existe"))</f>
        <v/>
      </c>
    </row>
    <row r="345">
      <c r="A345" s="13" t="n"/>
      <c r="B345" s="13" t="n"/>
      <c r="C345" s="13" t="n"/>
      <c r="D345" s="13" t="n"/>
      <c r="E345" s="13" t="n"/>
      <c r="F345" s="12">
        <f>IF(D345="","",IFERROR(INDEX(kb_regla_recomendacion!$G$2:$G$200,MATCH(D345,kb_regla_recomendacion!$A$2:$A$200,0)),"Regla no existe"))</f>
        <v/>
      </c>
    </row>
    <row r="346">
      <c r="A346" s="13" t="n"/>
      <c r="B346" s="13" t="n"/>
      <c r="C346" s="13" t="n"/>
      <c r="D346" s="13" t="n"/>
      <c r="E346" s="13" t="n"/>
      <c r="F346" s="12">
        <f>IF(D346="","",IFERROR(INDEX(kb_regla_recomendacion!$G$2:$G$200,MATCH(D346,kb_regla_recomendacion!$A$2:$A$200,0)),"Regla no existe"))</f>
        <v/>
      </c>
    </row>
    <row r="347">
      <c r="A347" s="13" t="n"/>
      <c r="B347" s="13" t="n"/>
      <c r="C347" s="13" t="n"/>
      <c r="D347" s="13" t="n"/>
      <c r="E347" s="13" t="n"/>
      <c r="F347" s="12">
        <f>IF(D347="","",IFERROR(INDEX(kb_regla_recomendacion!$G$2:$G$200,MATCH(D347,kb_regla_recomendacion!$A$2:$A$200,0)),"Regla no existe"))</f>
        <v/>
      </c>
    </row>
  </sheetData>
  <dataValidations count="3">
    <dataValidation sqref="A2:A2000" showDropDown="0" showInputMessage="0" showErrorMessage="1" allowBlank="1" errorTitle="Valor no válido" error="Elige un valor de la lista (hoja catalogos)." type="list">
      <formula1>kb_minuta!$A$2:$A$2000</formula1>
    </dataValidation>
    <dataValidation sqref="C2:C2000" showDropDown="0" showInputMessage="0" showErrorMessage="1" allowBlank="1" errorTitle="Valor no válido" error="Elige un valor de la lista (hoja catalogos)." type="list">
      <formula1>catalogos!$I$2:$I$4</formula1>
    </dataValidation>
    <dataValidation sqref="D2:D2000" showDropDown="0" showInputMessage="0" showErrorMessage="1" allowBlank="1" errorTitle="Valor no válido" error="Elige un valor de la lista (hoja catalogos)." type="list">
      <formula1>kb_regla_recomendacion!$A$2:$A$200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8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3" customWidth="1" min="2" max="2"/>
    <col width="14" customWidth="1" min="3" max="3"/>
    <col width="22" customWidth="1" min="4" max="4"/>
    <col width="15" customWidth="1" min="5" max="5"/>
    <col width="12" customWidth="1" min="6" max="6"/>
    <col width="12" customWidth="1" min="7" max="7"/>
    <col width="9" customWidth="1" min="8" max="8"/>
    <col width="50" customWidth="1" min="9" max="9"/>
  </cols>
  <sheetData>
    <row r="1" ht="34" customHeight="1">
      <c r="A1" s="9" t="inlineStr">
        <is>
          <t>minuta_id</t>
        </is>
      </c>
      <c r="B1" s="9" t="inlineStr">
        <is>
          <t>tipo_equipo</t>
        </is>
      </c>
      <c r="C1" s="9" t="inlineStr">
        <is>
          <t>marca</t>
        </is>
      </c>
      <c r="D1" s="9" t="inlineStr">
        <is>
          <t>modelo</t>
        </is>
      </c>
      <c r="E1" s="9" t="inlineStr">
        <is>
          <t>ip</t>
        </is>
      </c>
      <c r="F1" s="9" t="inlineStr">
        <is>
          <t>conexion</t>
        </is>
      </c>
      <c r="G1" s="9" t="inlineStr">
        <is>
          <t>area</t>
        </is>
      </c>
      <c r="H1" s="9" t="inlineStr">
        <is>
          <t>cantidad</t>
        </is>
      </c>
      <c r="I1" s="9" t="inlineStr">
        <is>
          <t>nota</t>
        </is>
      </c>
    </row>
    <row r="2">
      <c r="A2" s="10" t="inlineStr">
        <is>
          <t>MH-001</t>
        </is>
      </c>
      <c r="B2" s="10" t="inlineStr">
        <is>
          <t>printer</t>
        </is>
      </c>
      <c r="C2" s="10" t="inlineStr"/>
      <c r="D2" s="10" t="inlineStr"/>
      <c r="E2" s="10" t="inlineStr"/>
      <c r="F2" s="10" t="inlineStr">
        <is>
          <t>CABLE_RED</t>
        </is>
      </c>
      <c r="G2" s="10" t="inlineStr"/>
      <c r="H2" s="10" t="n"/>
      <c r="I2" s="10" t="inlineStr">
        <is>
          <t>Impresoras entregadas y configuradas; la de cocina quedó pendiente por falta de punto de red</t>
        </is>
      </c>
    </row>
    <row r="3">
      <c r="A3" s="10" t="inlineStr">
        <is>
          <t>MH-001</t>
        </is>
      </c>
      <c r="B3" s="10" t="inlineStr">
        <is>
          <t>camera</t>
        </is>
      </c>
      <c r="C3" s="10" t="inlineStr"/>
      <c r="D3" s="10" t="inlineStr"/>
      <c r="E3" s="10" t="inlineStr"/>
      <c r="F3" s="10" t="inlineStr"/>
      <c r="G3" s="10" t="inlineStr"/>
      <c r="H3" s="10" t="n"/>
      <c r="I3" s="10" t="inlineStr">
        <is>
          <t>Hay un gabinete de cámaras</t>
        </is>
      </c>
    </row>
    <row r="4">
      <c r="A4" s="10" t="inlineStr">
        <is>
          <t>MH-002</t>
        </is>
      </c>
      <c r="B4" s="10" t="inlineStr">
        <is>
          <t>modem</t>
        </is>
      </c>
      <c r="C4" s="10" t="inlineStr"/>
      <c r="D4" s="10" t="inlineStr"/>
      <c r="E4" s="10" t="inlineStr"/>
      <c r="F4" s="10" t="inlineStr"/>
      <c r="G4" s="10" t="inlineStr"/>
      <c r="H4" s="10" t="n">
        <v>1</v>
      </c>
      <c r="I4" s="10" t="inlineStr">
        <is>
          <t>Los equipos estaban configurados directo al módem</t>
        </is>
      </c>
    </row>
    <row r="5">
      <c r="A5" s="10" t="inlineStr">
        <is>
          <t>MH-002</t>
        </is>
      </c>
      <c r="B5" s="10" t="inlineStr">
        <is>
          <t>router</t>
        </is>
      </c>
      <c r="C5" s="10" t="inlineStr">
        <is>
          <t>TP-Link</t>
        </is>
      </c>
      <c r="D5" s="10" t="inlineStr"/>
      <c r="E5" s="10" t="inlineStr"/>
      <c r="F5" s="10" t="inlineStr"/>
      <c r="G5" s="10" t="inlineStr"/>
      <c r="H5" s="10" t="n">
        <v>1</v>
      </c>
      <c r="I5" s="10" t="inlineStr">
        <is>
          <t>Configurado como red de redundancia de internet (4G)</t>
        </is>
      </c>
    </row>
    <row r="6">
      <c r="A6" s="10" t="inlineStr">
        <is>
          <t>MH-002</t>
        </is>
      </c>
      <c r="B6" s="10" t="inlineStr">
        <is>
          <t>raspberry</t>
        </is>
      </c>
      <c r="C6" s="10" t="inlineStr">
        <is>
          <t>Raspberry</t>
        </is>
      </c>
      <c r="D6" s="10" t="inlineStr"/>
      <c r="E6" s="10" t="inlineStr"/>
      <c r="F6" s="10" t="inlineStr"/>
      <c r="G6" s="10" t="inlineStr"/>
      <c r="H6" s="10" t="n">
        <v>1</v>
      </c>
      <c r="I6" s="10" t="inlineStr">
        <is>
          <t>Sistema de impresión</t>
        </is>
      </c>
    </row>
    <row r="7">
      <c r="A7" s="10" t="inlineStr">
        <is>
          <t>MH-002</t>
        </is>
      </c>
      <c r="B7" s="10" t="inlineStr">
        <is>
          <t>printer</t>
        </is>
      </c>
      <c r="C7" s="10" t="inlineStr"/>
      <c r="D7" s="10" t="inlineStr"/>
      <c r="E7" s="10" t="inlineStr"/>
      <c r="F7" s="10" t="inlineStr"/>
      <c r="G7" s="10" t="inlineStr"/>
      <c r="H7" s="10" t="n"/>
      <c r="I7" s="10" t="inlineStr">
        <is>
          <t>Configurada con IDPos</t>
        </is>
      </c>
    </row>
    <row r="8">
      <c r="A8" s="10" t="inlineStr">
        <is>
          <t>MH-003</t>
        </is>
      </c>
      <c r="B8" s="10" t="inlineStr">
        <is>
          <t>computer</t>
        </is>
      </c>
      <c r="C8" s="10" t="inlineStr"/>
      <c r="D8" s="10" t="inlineStr"/>
      <c r="E8" s="10" t="inlineStr"/>
      <c r="F8" s="10" t="inlineStr">
        <is>
          <t>WIFI</t>
        </is>
      </c>
      <c r="G8" s="10" t="inlineStr">
        <is>
          <t>CAJA</t>
        </is>
      </c>
      <c r="H8" s="10" t="n">
        <v>1</v>
      </c>
      <c r="I8" s="10" t="inlineStr">
        <is>
          <t>PC con los programas de impresión</t>
        </is>
      </c>
    </row>
    <row r="9">
      <c r="A9" s="10" t="inlineStr">
        <is>
          <t>MH-003</t>
        </is>
      </c>
      <c r="B9" s="10" t="inlineStr">
        <is>
          <t>repetidor</t>
        </is>
      </c>
      <c r="C9" s="10" t="inlineStr"/>
      <c r="D9" s="10" t="inlineStr"/>
      <c r="E9" s="10" t="inlineStr"/>
      <c r="F9" s="10" t="inlineStr">
        <is>
          <t>WIFI</t>
        </is>
      </c>
      <c r="G9" s="10" t="inlineStr"/>
      <c r="H9" s="10" t="n"/>
      <c r="I9" s="10" t="inlineStr">
        <is>
          <t>Compartían red con las impresoras</t>
        </is>
      </c>
    </row>
    <row r="10">
      <c r="A10" s="10" t="inlineStr">
        <is>
          <t>MH-003</t>
        </is>
      </c>
      <c r="B10" s="10" t="inlineStr">
        <is>
          <t>printer</t>
        </is>
      </c>
      <c r="C10" s="10" t="inlineStr"/>
      <c r="D10" s="10" t="inlineStr"/>
      <c r="E10" s="10" t="inlineStr"/>
      <c r="F10" s="10" t="inlineStr"/>
      <c r="G10" s="10" t="inlineStr">
        <is>
          <t>BAR</t>
        </is>
      </c>
      <c r="H10" s="10" t="n">
        <v>1</v>
      </c>
      <c r="I10" s="10" t="inlineStr">
        <is>
          <t>Impresora de barra</t>
        </is>
      </c>
    </row>
    <row r="11">
      <c r="A11" s="10" t="inlineStr">
        <is>
          <t>MH-004</t>
        </is>
      </c>
      <c r="B11" s="10" t="inlineStr">
        <is>
          <t>router</t>
        </is>
      </c>
      <c r="C11" s="10" t="inlineStr">
        <is>
          <t>Huawei</t>
        </is>
      </c>
      <c r="D11" s="10" t="inlineStr">
        <is>
          <t>OptiXstar HG8145X6-10</t>
        </is>
      </c>
      <c r="E11" s="10" t="inlineStr">
        <is>
          <t>192.168.100.1</t>
        </is>
      </c>
      <c r="F11" s="10" t="inlineStr"/>
      <c r="G11" s="10" t="inlineStr">
        <is>
          <t>CAJA</t>
        </is>
      </c>
      <c r="H11" s="10" t="n">
        <v>1</v>
      </c>
      <c r="I11" s="10" t="inlineStr">
        <is>
          <t>Router principal (Claro)</t>
        </is>
      </c>
    </row>
    <row r="12">
      <c r="A12" s="10" t="inlineStr">
        <is>
          <t>MH-004</t>
        </is>
      </c>
      <c r="B12" s="10" t="inlineStr">
        <is>
          <t>computer</t>
        </is>
      </c>
      <c r="C12" s="10" t="inlineStr"/>
      <c r="D12" s="10" t="inlineStr"/>
      <c r="E12" s="10" t="inlineStr">
        <is>
          <t>192.168.100.13</t>
        </is>
      </c>
      <c r="F12" s="10" t="inlineStr">
        <is>
          <t>WIFI</t>
        </is>
      </c>
      <c r="G12" s="10" t="inlineStr">
        <is>
          <t>CAJA</t>
        </is>
      </c>
      <c r="H12" s="10" t="n">
        <v>1</v>
      </c>
      <c r="I12" s="10" t="inlineStr">
        <is>
          <t>Tiene puerto de red libre</t>
        </is>
      </c>
    </row>
    <row r="13">
      <c r="A13" s="10" t="inlineStr">
        <is>
          <t>MH-004</t>
        </is>
      </c>
      <c r="B13" s="10" t="inlineStr">
        <is>
          <t>printer</t>
        </is>
      </c>
      <c r="C13" s="10" t="inlineStr"/>
      <c r="D13" s="10" t="inlineStr"/>
      <c r="E13" s="10" t="inlineStr"/>
      <c r="F13" s="10" t="inlineStr">
        <is>
          <t>USB</t>
        </is>
      </c>
      <c r="G13" s="10" t="inlineStr">
        <is>
          <t>CAJA</t>
        </is>
      </c>
      <c r="H13" s="10" t="n">
        <v>1</v>
      </c>
      <c r="I13" s="10" t="inlineStr">
        <is>
          <t>Conectada a la PC de caja</t>
        </is>
      </c>
    </row>
    <row r="14">
      <c r="A14" s="10" t="inlineStr">
        <is>
          <t>MH-004</t>
        </is>
      </c>
      <c r="B14" s="10" t="inlineStr">
        <is>
          <t>printer</t>
        </is>
      </c>
      <c r="C14" s="10" t="inlineStr">
        <is>
          <t>CBX</t>
        </is>
      </c>
      <c r="D14" s="10" t="inlineStr">
        <is>
          <t>CBX-POS89E</t>
        </is>
      </c>
      <c r="E14" s="10" t="inlineStr">
        <is>
          <t>192.168.100.20</t>
        </is>
      </c>
      <c r="F14" s="10" t="inlineStr">
        <is>
          <t>CABLE_RED</t>
        </is>
      </c>
      <c r="G14" s="10" t="inlineStr">
        <is>
          <t>COCINA</t>
        </is>
      </c>
      <c r="H14" s="10" t="n">
        <v>1</v>
      </c>
      <c r="I14" s="10" t="inlineStr">
        <is>
          <t>IP fija</t>
        </is>
      </c>
    </row>
    <row r="15">
      <c r="A15" s="10" t="inlineStr">
        <is>
          <t>MH-004</t>
        </is>
      </c>
      <c r="B15" s="10" t="inlineStr">
        <is>
          <t>repetidor</t>
        </is>
      </c>
      <c r="C15" s="10" t="inlineStr">
        <is>
          <t>Huawei</t>
        </is>
      </c>
      <c r="D15" s="10" t="inlineStr"/>
      <c r="E15" s="10" t="inlineStr">
        <is>
          <t>192.168.100.22</t>
        </is>
      </c>
      <c r="F15" s="10" t="inlineStr">
        <is>
          <t>WIFI</t>
        </is>
      </c>
      <c r="G15" s="10" t="inlineStr"/>
      <c r="H15" s="10" t="n">
        <v>1</v>
      </c>
      <c r="I15" s="10" t="inlineStr"/>
    </row>
    <row r="16">
      <c r="A16" s="10" t="inlineStr">
        <is>
          <t>MH-004</t>
        </is>
      </c>
      <c r="B16" s="10" t="inlineStr">
        <is>
          <t>repetidor</t>
        </is>
      </c>
      <c r="C16" s="10" t="inlineStr">
        <is>
          <t>Huawei</t>
        </is>
      </c>
      <c r="D16" s="10" t="inlineStr"/>
      <c r="E16" s="10" t="inlineStr">
        <is>
          <t>192.168.100.50</t>
        </is>
      </c>
      <c r="F16" s="10" t="inlineStr">
        <is>
          <t>WIFI</t>
        </is>
      </c>
      <c r="G16" s="10" t="inlineStr"/>
      <c r="H16" s="10" t="n">
        <v>1</v>
      </c>
      <c r="I16" s="10" t="inlineStr"/>
    </row>
    <row r="17">
      <c r="A17" s="10" t="inlineStr">
        <is>
          <t>MH-004</t>
        </is>
      </c>
      <c r="B17" s="10" t="inlineStr">
        <is>
          <t>tablet</t>
        </is>
      </c>
      <c r="C17" s="10" t="inlineStr"/>
      <c r="D17" s="10" t="inlineStr"/>
      <c r="E17" s="10" t="inlineStr"/>
      <c r="F17" s="10" t="inlineStr">
        <is>
          <t>WIFI</t>
        </is>
      </c>
      <c r="G17" s="10" t="inlineStr">
        <is>
          <t>SALON_1</t>
        </is>
      </c>
      <c r="H17" s="10" t="n"/>
      <c r="I17" s="10" t="inlineStr">
        <is>
          <t>Tablets para meseros y segunda caja (rush)</t>
        </is>
      </c>
    </row>
    <row r="18">
      <c r="A18" s="10" t="inlineStr">
        <is>
          <t>MH-005</t>
        </is>
      </c>
      <c r="B18" s="10" t="inlineStr">
        <is>
          <t>router</t>
        </is>
      </c>
      <c r="C18" s="10" t="inlineStr"/>
      <c r="D18" s="10" t="inlineStr"/>
      <c r="E18" s="10" t="inlineStr"/>
      <c r="F18" s="10" t="inlineStr"/>
      <c r="G18" s="10" t="inlineStr"/>
      <c r="H18" s="10" t="n">
        <v>2</v>
      </c>
      <c r="I18" s="10" t="inlineStr">
        <is>
          <t>Dos routers: Claro y Movistar</t>
        </is>
      </c>
    </row>
    <row r="19">
      <c r="A19" s="10" t="inlineStr">
        <is>
          <t>MH-005</t>
        </is>
      </c>
      <c r="B19" s="10" t="inlineStr">
        <is>
          <t>computer</t>
        </is>
      </c>
      <c r="C19" s="10" t="inlineStr"/>
      <c r="D19" s="10" t="inlineStr"/>
      <c r="E19" s="10" t="inlineStr"/>
      <c r="F19" s="10" t="inlineStr">
        <is>
          <t>CABLE_RED</t>
        </is>
      </c>
      <c r="G19" s="10" t="inlineStr">
        <is>
          <t>CAJA</t>
        </is>
      </c>
      <c r="H19" s="10" t="n">
        <v>3</v>
      </c>
      <c r="I19" s="10" t="inlineStr">
        <is>
          <t>PC caja 1, 2 y 3</t>
        </is>
      </c>
    </row>
    <row r="20">
      <c r="A20" s="10" t="inlineStr">
        <is>
          <t>MH-005</t>
        </is>
      </c>
      <c r="B20" s="10" t="inlineStr">
        <is>
          <t>switch</t>
        </is>
      </c>
      <c r="C20" s="10" t="inlineStr"/>
      <c r="D20" s="10" t="inlineStr"/>
      <c r="E20" s="10" t="inlineStr"/>
      <c r="F20" s="10" t="inlineStr">
        <is>
          <t>CABLE_RED</t>
        </is>
      </c>
      <c r="G20" s="10" t="inlineStr">
        <is>
          <t>BAR</t>
        </is>
      </c>
      <c r="H20" s="10" t="n">
        <v>1</v>
      </c>
      <c r="I20" s="10" t="inlineStr">
        <is>
          <t>Switch de la barra 1 con falla; reemplazado por uno de ID</t>
        </is>
      </c>
    </row>
    <row r="21">
      <c r="A21" s="10" t="inlineStr">
        <is>
          <t>MH-005</t>
        </is>
      </c>
      <c r="B21" s="10" t="inlineStr">
        <is>
          <t>tablet</t>
        </is>
      </c>
      <c r="C21" s="10" t="inlineStr"/>
      <c r="D21" s="10" t="inlineStr"/>
      <c r="E21" s="10" t="inlineStr"/>
      <c r="F21" s="10" t="inlineStr">
        <is>
          <t>WIFI</t>
        </is>
      </c>
      <c r="G21" s="10" t="inlineStr"/>
      <c r="H21" s="10" t="n"/>
      <c r="I21" s="10" t="inlineStr">
        <is>
          <t>Tablets de meseras en red DORCHER CLIENTES</t>
        </is>
      </c>
    </row>
    <row r="22">
      <c r="A22" s="10" t="inlineStr">
        <is>
          <t>MH-006</t>
        </is>
      </c>
      <c r="B22" s="10" t="inlineStr">
        <is>
          <t>computer</t>
        </is>
      </c>
      <c r="C22" s="10" t="inlineStr"/>
      <c r="D22" s="10" t="inlineStr"/>
      <c r="E22" s="10" t="inlineStr"/>
      <c r="F22" s="10" t="inlineStr">
        <is>
          <t>CABLE_RED</t>
        </is>
      </c>
      <c r="G22" s="10" t="inlineStr">
        <is>
          <t>CAJA</t>
        </is>
      </c>
      <c r="H22" s="10" t="n">
        <v>3</v>
      </c>
      <c r="I22" s="10" t="inlineStr">
        <is>
          <t>~92–93 Mbps en cada PC</t>
        </is>
      </c>
    </row>
    <row r="23">
      <c r="A23" s="10" t="inlineStr">
        <is>
          <t>MH-006</t>
        </is>
      </c>
      <c r="B23" s="10" t="inlineStr">
        <is>
          <t>printer</t>
        </is>
      </c>
      <c r="C23" s="10" t="inlineStr"/>
      <c r="D23" s="10" t="inlineStr"/>
      <c r="E23" s="10" t="inlineStr"/>
      <c r="F23" s="10" t="inlineStr">
        <is>
          <t>CABLE_RED</t>
        </is>
      </c>
      <c r="G23" s="10" t="inlineStr">
        <is>
          <t>CAJA</t>
        </is>
      </c>
      <c r="H23" s="10" t="n">
        <v>3</v>
      </c>
      <c r="I23" s="10" t="inlineStr">
        <is>
          <t>Impresoras de caja 1, 2 y 3</t>
        </is>
      </c>
    </row>
    <row r="24">
      <c r="A24" s="10" t="inlineStr">
        <is>
          <t>MH-006</t>
        </is>
      </c>
      <c r="B24" s="10" t="inlineStr">
        <is>
          <t>printer</t>
        </is>
      </c>
      <c r="C24" s="10" t="inlineStr"/>
      <c r="D24" s="10" t="inlineStr"/>
      <c r="E24" s="10" t="inlineStr"/>
      <c r="F24" s="10" t="inlineStr">
        <is>
          <t>CABLE_RED</t>
        </is>
      </c>
      <c r="G24" s="10" t="inlineStr">
        <is>
          <t>BAR</t>
        </is>
      </c>
      <c r="H24" s="10" t="n">
        <v>2</v>
      </c>
      <c r="I24" s="10" t="inlineStr">
        <is>
          <t>Barra 1 (piso 1) y barra 2 (piso 2)</t>
        </is>
      </c>
    </row>
    <row r="25">
      <c r="A25" s="10" t="inlineStr">
        <is>
          <t>MH-006</t>
        </is>
      </c>
      <c r="B25" s="10" t="inlineStr">
        <is>
          <t>printer</t>
        </is>
      </c>
      <c r="C25" s="10" t="inlineStr"/>
      <c r="D25" s="10" t="inlineStr"/>
      <c r="E25" s="10" t="inlineStr"/>
      <c r="F25" s="10" t="inlineStr">
        <is>
          <t>CABLE_RED</t>
        </is>
      </c>
      <c r="G25" s="10" t="inlineStr">
        <is>
          <t>COCINA</t>
        </is>
      </c>
      <c r="H25" s="10" t="n">
        <v>1</v>
      </c>
      <c r="I25" s="10" t="inlineStr"/>
    </row>
    <row r="26">
      <c r="A26" s="10" t="inlineStr">
        <is>
          <t>MH-006</t>
        </is>
      </c>
      <c r="B26" s="10" t="inlineStr">
        <is>
          <t>tablet</t>
        </is>
      </c>
      <c r="C26" s="10" t="inlineStr"/>
      <c r="D26" s="10" t="inlineStr"/>
      <c r="E26" s="10" t="inlineStr"/>
      <c r="F26" s="10" t="inlineStr">
        <is>
          <t>WIFI</t>
        </is>
      </c>
      <c r="G26" s="10" t="inlineStr"/>
      <c r="H26" s="10" t="n">
        <v>6</v>
      </c>
      <c r="I26" s="10" t="inlineStr">
        <is>
          <t>Redes DORCHER SISTEMAS y DORCHER CLIENTES</t>
        </is>
      </c>
    </row>
    <row r="27">
      <c r="A27" s="10" t="inlineStr">
        <is>
          <t>MH-007</t>
        </is>
      </c>
      <c r="B27" s="10" t="inlineStr">
        <is>
          <t>pos</t>
        </is>
      </c>
      <c r="C27" s="10" t="inlineStr">
        <is>
          <t>Sunmi</t>
        </is>
      </c>
      <c r="D27" s="10" t="inlineStr"/>
      <c r="E27" s="10" t="inlineStr"/>
      <c r="F27" s="10" t="inlineStr">
        <is>
          <t>WIFI</t>
        </is>
      </c>
      <c r="G27" s="10" t="inlineStr"/>
      <c r="H27" s="10" t="n">
        <v>1</v>
      </c>
      <c r="I27" s="10" t="inlineStr">
        <is>
          <t>Monitor Summi con chip Entel 4G</t>
        </is>
      </c>
    </row>
    <row r="28">
      <c r="A28" s="10" t="inlineStr">
        <is>
          <t>MH-007</t>
        </is>
      </c>
      <c r="B28" s="10" t="inlineStr">
        <is>
          <t>router</t>
        </is>
      </c>
      <c r="C28" s="10" t="inlineStr">
        <is>
          <t>TP-Link</t>
        </is>
      </c>
      <c r="D28" s="10" t="inlineStr"/>
      <c r="E28" s="10" t="inlineStr"/>
      <c r="F28" s="10" t="inlineStr"/>
      <c r="G28" s="10" t="inlineStr"/>
      <c r="H28" s="10" t="n">
        <v>1</v>
      </c>
      <c r="I28" s="10" t="inlineStr">
        <is>
          <t>Router 4G con chip (10 GB), 3 puertos, respaldo automático</t>
        </is>
      </c>
    </row>
    <row r="29">
      <c r="A29" s="10" t="inlineStr">
        <is>
          <t>MH-008</t>
        </is>
      </c>
      <c r="B29" s="10" t="inlineStr">
        <is>
          <t>raspberry</t>
        </is>
      </c>
      <c r="C29" s="10" t="inlineStr">
        <is>
          <t>Raspberry</t>
        </is>
      </c>
      <c r="D29" s="10" t="inlineStr"/>
      <c r="E29" s="10" t="inlineStr"/>
      <c r="F29" s="10" t="inlineStr">
        <is>
          <t>CABLE_RED</t>
        </is>
      </c>
      <c r="G29" s="10" t="inlineStr">
        <is>
          <t>OTRO</t>
        </is>
      </c>
      <c r="H29" s="10" t="n">
        <v>1</v>
      </c>
      <c r="I29" s="10" t="inlineStr">
        <is>
          <t>En la barra de Bodegón</t>
        </is>
      </c>
    </row>
    <row r="30">
      <c r="A30" s="10" t="inlineStr">
        <is>
          <t>MH-008</t>
        </is>
      </c>
      <c r="B30" s="10" t="inlineStr">
        <is>
          <t>printer</t>
        </is>
      </c>
      <c r="C30" s="10" t="inlineStr"/>
      <c r="D30" s="10" t="inlineStr"/>
      <c r="E30" s="10" t="inlineStr"/>
      <c r="F30" s="10" t="inlineStr">
        <is>
          <t>CABLE_RED</t>
        </is>
      </c>
      <c r="G30" s="10" t="inlineStr">
        <is>
          <t>OTRO</t>
        </is>
      </c>
      <c r="H30" s="10" t="n">
        <v>3</v>
      </c>
      <c r="I30" s="10" t="inlineStr">
        <is>
          <t>Recepción, Bodegón y Lagar</t>
        </is>
      </c>
    </row>
    <row r="31">
      <c r="A31" s="10" t="inlineStr">
        <is>
          <t>MH-008</t>
        </is>
      </c>
      <c r="B31" s="10" t="inlineStr">
        <is>
          <t>computer</t>
        </is>
      </c>
      <c r="C31" s="10" t="inlineStr"/>
      <c r="D31" s="10" t="inlineStr"/>
      <c r="E31" s="10" t="inlineStr"/>
      <c r="F31" s="10" t="inlineStr">
        <is>
          <t>WIFI</t>
        </is>
      </c>
      <c r="G31" s="10" t="inlineStr">
        <is>
          <t>CAJA</t>
        </is>
      </c>
      <c r="H31" s="10" t="n">
        <v>1</v>
      </c>
      <c r="I31" s="10" t="inlineStr">
        <is>
          <t>PC de caja por WiFi</t>
        </is>
      </c>
    </row>
    <row r="32">
      <c r="A32" s="10" t="inlineStr">
        <is>
          <t>MH-008</t>
        </is>
      </c>
      <c r="B32" s="10" t="inlineStr">
        <is>
          <t>computer</t>
        </is>
      </c>
      <c r="C32" s="10" t="inlineStr"/>
      <c r="D32" s="10" t="inlineStr"/>
      <c r="E32" s="10" t="inlineStr"/>
      <c r="F32" s="10" t="inlineStr"/>
      <c r="G32" s="10" t="inlineStr">
        <is>
          <t>OTRO</t>
        </is>
      </c>
      <c r="H32" s="10" t="n">
        <v>1</v>
      </c>
      <c r="I32" s="10" t="inlineStr">
        <is>
          <t>PC de recepción (zona horaria corregida)</t>
        </is>
      </c>
    </row>
    <row r="33">
      <c r="A33" s="10" t="inlineStr">
        <is>
          <t>MH-008</t>
        </is>
      </c>
      <c r="B33" s="10" t="inlineStr">
        <is>
          <t>modem</t>
        </is>
      </c>
      <c r="C33" s="10" t="inlineStr">
        <is>
          <t>Hughesnet</t>
        </is>
      </c>
      <c r="D33" s="10" t="inlineStr"/>
      <c r="E33" s="10" t="inlineStr"/>
      <c r="F33" s="10" t="inlineStr"/>
      <c r="G33" s="10" t="inlineStr"/>
      <c r="H33" s="10" t="n">
        <v>1</v>
      </c>
      <c r="I33" s="10" t="inlineStr">
        <is>
          <t>Internet satelital</t>
        </is>
      </c>
    </row>
    <row r="34">
      <c r="A34" s="10" t="inlineStr">
        <is>
          <t>MH-009</t>
        </is>
      </c>
      <c r="B34" s="10" t="inlineStr">
        <is>
          <t>router</t>
        </is>
      </c>
      <c r="C34" s="10" t="inlineStr"/>
      <c r="D34" s="10" t="inlineStr"/>
      <c r="E34" s="10" t="inlineStr"/>
      <c r="F34" s="10" t="inlineStr"/>
      <c r="G34" s="10" t="inlineStr">
        <is>
          <t>CAJA</t>
        </is>
      </c>
      <c r="H34" s="10" t="n">
        <v>1</v>
      </c>
      <c r="I34" s="10" t="inlineStr">
        <is>
          <t>Router principal con fibra óptica</t>
        </is>
      </c>
    </row>
    <row r="35">
      <c r="A35" s="10" t="inlineStr">
        <is>
          <t>MH-009</t>
        </is>
      </c>
      <c r="B35" s="10" t="inlineStr">
        <is>
          <t>printer</t>
        </is>
      </c>
      <c r="C35" s="10" t="inlineStr"/>
      <c r="D35" s="10" t="inlineStr"/>
      <c r="E35" s="10" t="inlineStr"/>
      <c r="F35" s="10" t="inlineStr">
        <is>
          <t>USB</t>
        </is>
      </c>
      <c r="G35" s="10" t="inlineStr">
        <is>
          <t>CAJA</t>
        </is>
      </c>
      <c r="H35" s="10" t="n">
        <v>1</v>
      </c>
      <c r="I35" s="10" t="inlineStr">
        <is>
          <t>Impresora de caja USB</t>
        </is>
      </c>
    </row>
    <row r="36">
      <c r="A36" s="10" t="inlineStr">
        <is>
          <t>MH-009</t>
        </is>
      </c>
      <c r="B36" s="10" t="inlineStr">
        <is>
          <t>printer</t>
        </is>
      </c>
      <c r="C36" s="10" t="inlineStr"/>
      <c r="D36" s="10" t="inlineStr"/>
      <c r="E36" s="10" t="inlineStr">
        <is>
          <t>192.168.0.241</t>
        </is>
      </c>
      <c r="F36" s="10" t="inlineStr">
        <is>
          <t>CABLE_RED</t>
        </is>
      </c>
      <c r="G36" s="10" t="inlineStr">
        <is>
          <t>CAJA</t>
        </is>
      </c>
      <c r="H36" s="10" t="n">
        <v>1</v>
      </c>
      <c r="I36" s="10" t="inlineStr">
        <is>
          <t>El PDF la rotula 'Impresora de Caja (RED)'; verificar si es la de cocina-brasas</t>
        </is>
      </c>
    </row>
    <row r="37">
      <c r="A37" s="10" t="inlineStr">
        <is>
          <t>MH-009</t>
        </is>
      </c>
      <c r="B37" s="10" t="inlineStr">
        <is>
          <t>tablet</t>
        </is>
      </c>
      <c r="C37" s="10" t="inlineStr"/>
      <c r="D37" s="10" t="inlineStr"/>
      <c r="E37" s="10" t="inlineStr"/>
      <c r="F37" s="10" t="inlineStr">
        <is>
          <t>WIFI</t>
        </is>
      </c>
      <c r="G37" s="10" t="inlineStr"/>
      <c r="H37" s="10" t="n"/>
      <c r="I37" s="10" t="inlineStr"/>
    </row>
    <row r="38">
      <c r="A38" s="10" t="inlineStr">
        <is>
          <t>MH-010</t>
        </is>
      </c>
      <c r="B38" s="10" t="inlineStr">
        <is>
          <t>printer</t>
        </is>
      </c>
      <c r="C38" s="10" t="inlineStr"/>
      <c r="D38" s="10" t="inlineStr"/>
      <c r="E38" s="10" t="inlineStr">
        <is>
          <t>192.168.1.111</t>
        </is>
      </c>
      <c r="F38" s="10" t="inlineStr">
        <is>
          <t>CABLE_RED</t>
        </is>
      </c>
      <c r="G38" s="10" t="inlineStr">
        <is>
          <t>CAJA</t>
        </is>
      </c>
      <c r="H38" s="10" t="n">
        <v>1</v>
      </c>
      <c r="I38" s="10" t="inlineStr">
        <is>
          <t>Conector holgado</t>
        </is>
      </c>
    </row>
    <row r="39">
      <c r="A39" s="10" t="inlineStr">
        <is>
          <t>MH-010</t>
        </is>
      </c>
      <c r="B39" s="10" t="inlineStr">
        <is>
          <t>printer</t>
        </is>
      </c>
      <c r="C39" s="10" t="inlineStr"/>
      <c r="D39" s="10" t="inlineStr"/>
      <c r="E39" s="10" t="inlineStr">
        <is>
          <t>192.168.1.110</t>
        </is>
      </c>
      <c r="F39" s="10" t="inlineStr">
        <is>
          <t>CABLE_RED</t>
        </is>
      </c>
      <c r="G39" s="10" t="inlineStr">
        <is>
          <t>BRASAS</t>
        </is>
      </c>
      <c r="H39" s="10" t="n">
        <v>1</v>
      </c>
      <c r="I39" s="10" t="inlineStr">
        <is>
          <t>Conector holgado</t>
        </is>
      </c>
    </row>
    <row r="40">
      <c r="A40" s="10" t="inlineStr">
        <is>
          <t>MH-010</t>
        </is>
      </c>
      <c r="B40" s="10" t="inlineStr">
        <is>
          <t>printer</t>
        </is>
      </c>
      <c r="C40" s="10" t="inlineStr"/>
      <c r="D40" s="10" t="inlineStr"/>
      <c r="E40" s="10" t="inlineStr">
        <is>
          <t>192.168.1.100</t>
        </is>
      </c>
      <c r="F40" s="10" t="inlineStr">
        <is>
          <t>CABLE_RED</t>
        </is>
      </c>
      <c r="G40" s="10" t="inlineStr">
        <is>
          <t>COCINA</t>
        </is>
      </c>
      <c r="H40" s="10" t="n">
        <v>1</v>
      </c>
      <c r="I40" s="10" t="inlineStr">
        <is>
          <t>Conector holgado</t>
        </is>
      </c>
    </row>
    <row r="41">
      <c r="A41" s="10" t="inlineStr">
        <is>
          <t>MH-011</t>
        </is>
      </c>
      <c r="B41" s="10" t="inlineStr">
        <is>
          <t>router</t>
        </is>
      </c>
      <c r="C41" s="10" t="inlineStr"/>
      <c r="D41" s="10" t="inlineStr"/>
      <c r="E41" s="10" t="inlineStr"/>
      <c r="F41" s="10" t="inlineStr"/>
      <c r="G41" s="10" t="inlineStr">
        <is>
          <t>CAJA</t>
        </is>
      </c>
      <c r="H41" s="10" t="n">
        <v>1</v>
      </c>
      <c r="I41" s="10" t="inlineStr">
        <is>
          <t>Router principal</t>
        </is>
      </c>
    </row>
    <row r="42">
      <c r="A42" s="10" t="inlineStr">
        <is>
          <t>MH-011</t>
        </is>
      </c>
      <c r="B42" s="10" t="inlineStr">
        <is>
          <t>repetidor</t>
        </is>
      </c>
      <c r="C42" s="10" t="inlineStr"/>
      <c r="D42" s="10" t="inlineStr"/>
      <c r="E42" s="10" t="inlineStr"/>
      <c r="F42" s="10" t="inlineStr">
        <is>
          <t>WIFI</t>
        </is>
      </c>
      <c r="G42" s="10" t="inlineStr"/>
      <c r="H42" s="10" t="n">
        <v>1</v>
      </c>
      <c r="I42" s="10" t="inlineStr">
        <is>
          <t>Escalera del piso 2</t>
        </is>
      </c>
    </row>
    <row r="43">
      <c r="A43" s="10" t="inlineStr">
        <is>
          <t>MH-011</t>
        </is>
      </c>
      <c r="B43" s="10" t="inlineStr">
        <is>
          <t>printer</t>
        </is>
      </c>
      <c r="C43" s="10" t="inlineStr"/>
      <c r="D43" s="10" t="inlineStr"/>
      <c r="E43" s="10" t="inlineStr">
        <is>
          <t>192.168.1.55</t>
        </is>
      </c>
      <c r="F43" s="10" t="inlineStr">
        <is>
          <t>CABLE_RED</t>
        </is>
      </c>
      <c r="G43" s="10" t="inlineStr">
        <is>
          <t>CAJA</t>
        </is>
      </c>
      <c r="H43" s="10" t="n">
        <v>1</v>
      </c>
      <c r="I43" s="10" t="inlineStr"/>
    </row>
    <row r="44">
      <c r="A44" s="10" t="inlineStr">
        <is>
          <t>MH-011</t>
        </is>
      </c>
      <c r="B44" s="10" t="inlineStr">
        <is>
          <t>printer</t>
        </is>
      </c>
      <c r="C44" s="10" t="inlineStr"/>
      <c r="D44" s="10" t="inlineStr"/>
      <c r="E44" s="10" t="inlineStr">
        <is>
          <t>192.168.1.195</t>
        </is>
      </c>
      <c r="F44" s="10" t="inlineStr">
        <is>
          <t>CABLE_RED</t>
        </is>
      </c>
      <c r="G44" s="10" t="inlineStr">
        <is>
          <t>BRASAS</t>
        </is>
      </c>
      <c r="H44" s="10" t="n">
        <v>1</v>
      </c>
      <c r="I44" s="10" t="inlineStr"/>
    </row>
    <row r="45">
      <c r="A45" s="10" t="inlineStr">
        <is>
          <t>MH-011</t>
        </is>
      </c>
      <c r="B45" s="10" t="inlineStr">
        <is>
          <t>printer</t>
        </is>
      </c>
      <c r="C45" s="10" t="inlineStr"/>
      <c r="D45" s="10" t="inlineStr"/>
      <c r="E45" s="10" t="inlineStr">
        <is>
          <t>192.168.1.196</t>
        </is>
      </c>
      <c r="F45" s="10" t="inlineStr">
        <is>
          <t>CABLE_RED</t>
        </is>
      </c>
      <c r="G45" s="10" t="inlineStr">
        <is>
          <t>COCINA</t>
        </is>
      </c>
      <c r="H45" s="10" t="n">
        <v>1</v>
      </c>
      <c r="I45" s="10" t="inlineStr"/>
    </row>
    <row r="46">
      <c r="A46" s="10" t="inlineStr">
        <is>
          <t>MH-011</t>
        </is>
      </c>
      <c r="B46" s="10" t="inlineStr">
        <is>
          <t>tablet</t>
        </is>
      </c>
      <c r="C46" s="10" t="inlineStr"/>
      <c r="D46" s="10" t="inlineStr"/>
      <c r="E46" s="10" t="inlineStr"/>
      <c r="F46" s="10" t="inlineStr">
        <is>
          <t>WIFI</t>
        </is>
      </c>
      <c r="G46" s="10" t="inlineStr"/>
      <c r="H46" s="10" t="n">
        <v>1</v>
      </c>
      <c r="I46" s="10" t="inlineStr"/>
    </row>
    <row r="47">
      <c r="A47" s="10" t="inlineStr">
        <is>
          <t>MH-012</t>
        </is>
      </c>
      <c r="B47" s="10" t="inlineStr">
        <is>
          <t>router</t>
        </is>
      </c>
      <c r="C47" s="10" t="inlineStr"/>
      <c r="D47" s="10" t="inlineStr"/>
      <c r="E47" s="10" t="inlineStr"/>
      <c r="F47" s="10" t="inlineStr"/>
      <c r="G47" s="10" t="inlineStr">
        <is>
          <t>CAJA</t>
        </is>
      </c>
      <c r="H47" s="10" t="n">
        <v>1</v>
      </c>
      <c r="I47" s="10" t="inlineStr">
        <is>
          <t>Router principal</t>
        </is>
      </c>
    </row>
    <row r="48">
      <c r="A48" s="10" t="inlineStr">
        <is>
          <t>MH-012</t>
        </is>
      </c>
      <c r="B48" s="10" t="inlineStr">
        <is>
          <t>computer</t>
        </is>
      </c>
      <c r="C48" s="10" t="inlineStr"/>
      <c r="D48" s="10" t="inlineStr"/>
      <c r="E48" s="10" t="inlineStr"/>
      <c r="F48" s="10" t="inlineStr"/>
      <c r="G48" s="10" t="inlineStr">
        <is>
          <t>CAJA</t>
        </is>
      </c>
      <c r="H48" s="10" t="n">
        <v>1</v>
      </c>
      <c r="I48" s="10" t="inlineStr">
        <is>
          <t>PC de caja</t>
        </is>
      </c>
    </row>
    <row r="49">
      <c r="A49" s="10" t="inlineStr">
        <is>
          <t>MH-012</t>
        </is>
      </c>
      <c r="B49" s="10" t="inlineStr">
        <is>
          <t>printer</t>
        </is>
      </c>
      <c r="C49" s="10" t="inlineStr"/>
      <c r="D49" s="10" t="inlineStr"/>
      <c r="E49" s="10" t="inlineStr">
        <is>
          <t>192.168.1.112</t>
        </is>
      </c>
      <c r="F49" s="10" t="inlineStr">
        <is>
          <t>CABLE_RED</t>
        </is>
      </c>
      <c r="G49" s="10" t="inlineStr">
        <is>
          <t>CAJA</t>
        </is>
      </c>
      <c r="H49" s="10" t="n">
        <v>1</v>
      </c>
      <c r="I49" s="10" t="inlineStr">
        <is>
          <t>Botón feed inoperativo</t>
        </is>
      </c>
    </row>
    <row r="50">
      <c r="A50" s="10" t="inlineStr">
        <is>
          <t>MH-012</t>
        </is>
      </c>
      <c r="B50" s="10" t="inlineStr">
        <is>
          <t>printer</t>
        </is>
      </c>
      <c r="C50" s="10" t="inlineStr"/>
      <c r="D50" s="10" t="inlineStr"/>
      <c r="E50" s="10" t="inlineStr"/>
      <c r="F50" s="10" t="inlineStr">
        <is>
          <t>CABLE_RED</t>
        </is>
      </c>
      <c r="G50" s="10" t="inlineStr">
        <is>
          <t>COCINA</t>
        </is>
      </c>
      <c r="H50" s="10" t="n">
        <v>1</v>
      </c>
      <c r="I50" s="10" t="inlineStr">
        <is>
          <t>IP ilegible en la minuta</t>
        </is>
      </c>
    </row>
    <row r="51">
      <c r="A51" s="10" t="inlineStr">
        <is>
          <t>MH-012</t>
        </is>
      </c>
      <c r="B51" s="10" t="inlineStr">
        <is>
          <t>tablet</t>
        </is>
      </c>
      <c r="C51" s="10" t="inlineStr"/>
      <c r="D51" s="10" t="inlineStr"/>
      <c r="E51" s="10" t="inlineStr"/>
      <c r="F51" s="10" t="inlineStr">
        <is>
          <t>WIFI</t>
        </is>
      </c>
      <c r="G51" s="10" t="inlineStr"/>
      <c r="H51" s="10" t="n">
        <v>2</v>
      </c>
      <c r="I51" s="10" t="inlineStr">
        <is>
          <t>Equipos de meseros</t>
        </is>
      </c>
    </row>
    <row r="52">
      <c r="A52" s="10" t="inlineStr">
        <is>
          <t>MH-013</t>
        </is>
      </c>
      <c r="B52" s="10" t="inlineStr">
        <is>
          <t>router</t>
        </is>
      </c>
      <c r="C52" s="10" t="inlineStr"/>
      <c r="D52" s="10" t="inlineStr"/>
      <c r="E52" s="10" t="inlineStr"/>
      <c r="F52" s="10" t="inlineStr"/>
      <c r="G52" s="10" t="inlineStr">
        <is>
          <t>CAJA</t>
        </is>
      </c>
      <c r="H52" s="10" t="n">
        <v>1</v>
      </c>
      <c r="I52" s="10" t="inlineStr">
        <is>
          <t>Router principal con fibra óptica, piso 1</t>
        </is>
      </c>
    </row>
    <row r="53">
      <c r="A53" s="10" t="inlineStr">
        <is>
          <t>MH-013</t>
        </is>
      </c>
      <c r="B53" s="10" t="inlineStr">
        <is>
          <t>repetidor</t>
        </is>
      </c>
      <c r="C53" s="10" t="inlineStr"/>
      <c r="D53" s="10" t="inlineStr"/>
      <c r="E53" s="10" t="inlineStr"/>
      <c r="F53" s="10" t="inlineStr">
        <is>
          <t>WIFI</t>
        </is>
      </c>
      <c r="G53" s="10" t="inlineStr">
        <is>
          <t>BAR</t>
        </is>
      </c>
      <c r="H53" s="10" t="n"/>
      <c r="I53" s="10" t="inlineStr">
        <is>
          <t>Barra del piso 2</t>
        </is>
      </c>
    </row>
    <row r="54">
      <c r="A54" s="10" t="inlineStr">
        <is>
          <t>MH-013</t>
        </is>
      </c>
      <c r="B54" s="10" t="inlineStr">
        <is>
          <t>computer</t>
        </is>
      </c>
      <c r="C54" s="10" t="inlineStr"/>
      <c r="D54" s="10" t="inlineStr"/>
      <c r="E54" s="10" t="inlineStr"/>
      <c r="F54" s="10" t="inlineStr"/>
      <c r="G54" s="10" t="inlineStr">
        <is>
          <t>CAJA</t>
        </is>
      </c>
      <c r="H54" s="10" t="n">
        <v>1</v>
      </c>
      <c r="I54" s="10" t="inlineStr">
        <is>
          <t>PC de caja</t>
        </is>
      </c>
    </row>
    <row r="55">
      <c r="A55" s="10" t="inlineStr">
        <is>
          <t>MH-013</t>
        </is>
      </c>
      <c r="B55" s="10" t="inlineStr">
        <is>
          <t>printer</t>
        </is>
      </c>
      <c r="C55" s="10" t="inlineStr"/>
      <c r="D55" s="10" t="inlineStr"/>
      <c r="E55" s="10" t="inlineStr">
        <is>
          <t>192.168.1.241</t>
        </is>
      </c>
      <c r="F55" s="10" t="inlineStr">
        <is>
          <t>CABLE_RED</t>
        </is>
      </c>
      <c r="G55" s="10" t="inlineStr">
        <is>
          <t>CAJA</t>
        </is>
      </c>
      <c r="H55" s="10" t="n">
        <v>1</v>
      </c>
      <c r="I55" s="10" t="inlineStr"/>
    </row>
    <row r="56">
      <c r="A56" s="10" t="inlineStr">
        <is>
          <t>MH-013</t>
        </is>
      </c>
      <c r="B56" s="10" t="inlineStr">
        <is>
          <t>printer</t>
        </is>
      </c>
      <c r="C56" s="10" t="inlineStr"/>
      <c r="D56" s="10" t="inlineStr"/>
      <c r="E56" s="10" t="inlineStr">
        <is>
          <t>192.168.1.250</t>
        </is>
      </c>
      <c r="F56" s="10" t="inlineStr">
        <is>
          <t>CABLE_RED</t>
        </is>
      </c>
      <c r="G56" s="10" t="inlineStr">
        <is>
          <t>COCINA</t>
        </is>
      </c>
      <c r="H56" s="10" t="n">
        <v>1</v>
      </c>
      <c r="I56" s="10" t="inlineStr">
        <is>
          <t>Cocina-brasas</t>
        </is>
      </c>
    </row>
    <row r="57">
      <c r="A57" s="10" t="inlineStr">
        <is>
          <t>MH-014</t>
        </is>
      </c>
      <c r="B57" s="10" t="inlineStr">
        <is>
          <t>router</t>
        </is>
      </c>
      <c r="C57" s="10" t="inlineStr"/>
      <c r="D57" s="10" t="inlineStr"/>
      <c r="E57" s="10" t="inlineStr"/>
      <c r="F57" s="10" t="inlineStr"/>
      <c r="G57" s="10" t="inlineStr"/>
      <c r="H57" s="10" t="n">
        <v>1</v>
      </c>
      <c r="I57" s="10" t="inlineStr">
        <is>
          <t>Sin puertos libres</t>
        </is>
      </c>
    </row>
    <row r="58">
      <c r="A58" s="10" t="inlineStr">
        <is>
          <t>MH-014</t>
        </is>
      </c>
      <c r="B58" s="10" t="inlineStr">
        <is>
          <t>computer</t>
        </is>
      </c>
      <c r="C58" s="10" t="inlineStr"/>
      <c r="D58" s="10" t="inlineStr"/>
      <c r="E58" s="10" t="inlineStr"/>
      <c r="F58" s="10" t="inlineStr"/>
      <c r="G58" s="10" t="inlineStr">
        <is>
          <t>CAJA</t>
        </is>
      </c>
      <c r="H58" s="10" t="n">
        <v>1</v>
      </c>
      <c r="I58" s="10" t="inlineStr">
        <is>
          <t>PC de caja</t>
        </is>
      </c>
    </row>
    <row r="59">
      <c r="A59" s="10" t="inlineStr">
        <is>
          <t>MH-014</t>
        </is>
      </c>
      <c r="B59" s="10" t="inlineStr">
        <is>
          <t>printer</t>
        </is>
      </c>
      <c r="C59" s="10" t="inlineStr"/>
      <c r="D59" s="10" t="inlineStr"/>
      <c r="E59" s="10" t="inlineStr"/>
      <c r="F59" s="10" t="inlineStr">
        <is>
          <t>USB</t>
        </is>
      </c>
      <c r="G59" s="10" t="inlineStr">
        <is>
          <t>CAJA</t>
        </is>
      </c>
      <c r="H59" s="10" t="n">
        <v>1</v>
      </c>
      <c r="I59" s="10" t="inlineStr">
        <is>
          <t>Solo puerto USB</t>
        </is>
      </c>
    </row>
    <row r="60">
      <c r="A60" s="10" t="inlineStr">
        <is>
          <t>MH-014</t>
        </is>
      </c>
      <c r="B60" s="10" t="inlineStr">
        <is>
          <t>printer</t>
        </is>
      </c>
      <c r="C60" s="10" t="inlineStr"/>
      <c r="D60" s="10" t="inlineStr"/>
      <c r="E60" s="10" t="inlineStr">
        <is>
          <t>192.168.1.100</t>
        </is>
      </c>
      <c r="F60" s="10" t="inlineStr">
        <is>
          <t>CABLE_RED</t>
        </is>
      </c>
      <c r="G60" s="10" t="inlineStr">
        <is>
          <t>COCINA</t>
        </is>
      </c>
      <c r="H60" s="10" t="n">
        <v>1</v>
      </c>
      <c r="I60" s="10" t="inlineStr">
        <is>
          <t>Cocina-brasas; feed averiado, sin selftest</t>
        </is>
      </c>
    </row>
    <row r="61">
      <c r="A61" s="10" t="inlineStr">
        <is>
          <t>MH-015</t>
        </is>
      </c>
      <c r="B61" s="10" t="inlineStr">
        <is>
          <t>router</t>
        </is>
      </c>
      <c r="C61" s="10" t="inlineStr"/>
      <c r="D61" s="10" t="inlineStr"/>
      <c r="E61" s="10" t="inlineStr">
        <is>
          <t>192.168.18.1</t>
        </is>
      </c>
      <c r="F61" s="10" t="inlineStr"/>
      <c r="G61" s="10" t="inlineStr"/>
      <c r="H61" s="10" t="n">
        <v>1</v>
      </c>
      <c r="I61" s="10" t="inlineStr">
        <is>
          <t>Router principal</t>
        </is>
      </c>
    </row>
    <row r="62">
      <c r="A62" s="10" t="inlineStr">
        <is>
          <t>MH-015</t>
        </is>
      </c>
      <c r="B62" s="10" t="inlineStr">
        <is>
          <t>repetidor</t>
        </is>
      </c>
      <c r="C62" s="10" t="inlineStr"/>
      <c r="D62" s="10" t="inlineStr"/>
      <c r="E62" s="10" t="inlineStr"/>
      <c r="F62" s="10" t="inlineStr">
        <is>
          <t>WIFI</t>
        </is>
      </c>
      <c r="G62" s="10" t="inlineStr"/>
      <c r="H62" s="10" t="n">
        <v>1</v>
      </c>
      <c r="I62" s="10" t="inlineStr"/>
    </row>
    <row r="63">
      <c r="A63" s="10" t="inlineStr">
        <is>
          <t>MH-015</t>
        </is>
      </c>
      <c r="B63" s="10" t="inlineStr">
        <is>
          <t>computer</t>
        </is>
      </c>
      <c r="C63" s="10" t="inlineStr"/>
      <c r="D63" s="10" t="inlineStr"/>
      <c r="E63" s="10" t="inlineStr">
        <is>
          <t>192.168.18.20</t>
        </is>
      </c>
      <c r="F63" s="10" t="inlineStr"/>
      <c r="G63" s="10" t="inlineStr"/>
      <c r="H63" s="10" t="n">
        <v>1</v>
      </c>
      <c r="I63" s="10" t="inlineStr">
        <is>
          <t>PC estación de mozo</t>
        </is>
      </c>
    </row>
    <row r="64">
      <c r="A64" s="10" t="inlineStr">
        <is>
          <t>MH-015</t>
        </is>
      </c>
      <c r="B64" s="10" t="inlineStr">
        <is>
          <t>printer</t>
        </is>
      </c>
      <c r="C64" s="10" t="inlineStr"/>
      <c r="D64" s="10" t="inlineStr"/>
      <c r="E64" s="10" t="inlineStr"/>
      <c r="F64" s="10" t="inlineStr">
        <is>
          <t>CABLE_RED</t>
        </is>
      </c>
      <c r="G64" s="10" t="inlineStr">
        <is>
          <t>CAJA</t>
        </is>
      </c>
      <c r="H64" s="10" t="n">
        <v>1</v>
      </c>
      <c r="I64" s="10" t="inlineStr">
        <is>
          <t>Tiene puerto Ethernet pero no está conectada; IP desconfigurada</t>
        </is>
      </c>
    </row>
    <row r="65">
      <c r="A65" s="10" t="inlineStr">
        <is>
          <t>MH-015</t>
        </is>
      </c>
      <c r="B65" s="10" t="inlineStr">
        <is>
          <t>printer</t>
        </is>
      </c>
      <c r="C65" s="10" t="inlineStr"/>
      <c r="D65" s="10" t="inlineStr"/>
      <c r="E65" s="10" t="inlineStr">
        <is>
          <t>192.168.18.110</t>
        </is>
      </c>
      <c r="F65" s="10" t="inlineStr">
        <is>
          <t>CABLE_RED</t>
        </is>
      </c>
      <c r="G65" s="10" t="inlineStr">
        <is>
          <t>BRASAS</t>
        </is>
      </c>
      <c r="H65" s="10" t="n">
        <v>1</v>
      </c>
      <c r="I65" s="10" t="inlineStr"/>
    </row>
    <row r="66">
      <c r="A66" s="10" t="inlineStr">
        <is>
          <t>MH-015</t>
        </is>
      </c>
      <c r="B66" s="10" t="inlineStr">
        <is>
          <t>printer</t>
        </is>
      </c>
      <c r="C66" s="10" t="inlineStr"/>
      <c r="D66" s="10" t="inlineStr"/>
      <c r="E66" s="10" t="inlineStr">
        <is>
          <t>192.168.18.100</t>
        </is>
      </c>
      <c r="F66" s="10" t="inlineStr">
        <is>
          <t>CABLE_RED</t>
        </is>
      </c>
      <c r="G66" s="10" t="inlineStr">
        <is>
          <t>COCINA</t>
        </is>
      </c>
      <c r="H66" s="10" t="n">
        <v>1</v>
      </c>
      <c r="I66" s="10" t="inlineStr"/>
    </row>
    <row r="67">
      <c r="A67" s="10" t="inlineStr">
        <is>
          <t>MH-016</t>
        </is>
      </c>
      <c r="B67" s="10" t="inlineStr">
        <is>
          <t>router</t>
        </is>
      </c>
      <c r="C67" s="10" t="inlineStr">
        <is>
          <t>Movistar</t>
        </is>
      </c>
      <c r="D67" s="10" t="inlineStr"/>
      <c r="E67" s="10" t="inlineStr">
        <is>
          <t>192.168.1.1</t>
        </is>
      </c>
      <c r="F67" s="10" t="inlineStr"/>
      <c r="G67" s="10" t="inlineStr"/>
      <c r="H67" s="10" t="n">
        <v>1</v>
      </c>
      <c r="I67" s="10" t="inlineStr"/>
    </row>
    <row r="68">
      <c r="A68" s="10" t="inlineStr">
        <is>
          <t>MH-016</t>
        </is>
      </c>
      <c r="B68" s="10" t="inlineStr">
        <is>
          <t>printer</t>
        </is>
      </c>
      <c r="C68" s="10" t="inlineStr">
        <is>
          <t>3nStar</t>
        </is>
      </c>
      <c r="D68" s="10" t="inlineStr"/>
      <c r="E68" s="10" t="inlineStr">
        <is>
          <t>192.168.1.230</t>
        </is>
      </c>
      <c r="F68" s="10" t="inlineStr">
        <is>
          <t>CABLE_RED</t>
        </is>
      </c>
      <c r="G68" s="10" t="inlineStr">
        <is>
          <t>BAR</t>
        </is>
      </c>
      <c r="H68" s="10" t="n">
        <v>1</v>
      </c>
      <c r="I68" s="10" t="inlineStr">
        <is>
          <t>Boletas y facturas</t>
        </is>
      </c>
    </row>
    <row r="69">
      <c r="A69" s="10" t="inlineStr">
        <is>
          <t>MH-016</t>
        </is>
      </c>
      <c r="B69" s="10" t="inlineStr">
        <is>
          <t>tablet</t>
        </is>
      </c>
      <c r="C69" s="10" t="inlineStr"/>
      <c r="D69" s="10" t="inlineStr"/>
      <c r="E69" s="10" t="inlineStr"/>
      <c r="F69" s="10" t="inlineStr">
        <is>
          <t>WIFI</t>
        </is>
      </c>
      <c r="G69" s="10" t="inlineStr">
        <is>
          <t>CAJA</t>
        </is>
      </c>
      <c r="H69" s="10" t="n">
        <v>1</v>
      </c>
      <c r="I69" s="10" t="inlineStr">
        <is>
          <t>Caja principal</t>
        </is>
      </c>
    </row>
    <row r="70">
      <c r="A70" s="10" t="inlineStr">
        <is>
          <t>MH-017</t>
        </is>
      </c>
      <c r="B70" s="10" t="inlineStr">
        <is>
          <t>access_point</t>
        </is>
      </c>
      <c r="C70" s="10" t="inlineStr">
        <is>
          <t>Movistar</t>
        </is>
      </c>
      <c r="D70" s="10" t="inlineStr"/>
      <c r="E70" s="10" t="inlineStr">
        <is>
          <t>192.168.5.1</t>
        </is>
      </c>
      <c r="F70" s="10" t="inlineStr"/>
      <c r="G70" s="10" t="inlineStr">
        <is>
          <t>SALON_1</t>
        </is>
      </c>
      <c r="H70" s="10" t="n">
        <v>1</v>
      </c>
      <c r="I70" s="10" t="inlineStr">
        <is>
          <t>Sin puertos libres; red para impresora de salón y WiFi</t>
        </is>
      </c>
    </row>
    <row r="71">
      <c r="A71" s="10" t="inlineStr">
        <is>
          <t>MH-017</t>
        </is>
      </c>
      <c r="B71" s="10" t="inlineStr">
        <is>
          <t>printer</t>
        </is>
      </c>
      <c r="C71" s="10" t="inlineStr">
        <is>
          <t>3nStar</t>
        </is>
      </c>
      <c r="D71" s="10" t="inlineStr"/>
      <c r="E71" s="10" t="inlineStr"/>
      <c r="F71" s="10" t="inlineStr">
        <is>
          <t>CABLE_RED</t>
        </is>
      </c>
      <c r="G71" s="10" t="inlineStr">
        <is>
          <t>SALON_1</t>
        </is>
      </c>
      <c r="H71" s="10" t="n">
        <v>1</v>
      </c>
      <c r="I71" s="10" t="inlineStr">
        <is>
          <t>Cambio de IP pendiente</t>
        </is>
      </c>
    </row>
    <row r="72">
      <c r="A72" s="10" t="inlineStr">
        <is>
          <t>MH-017</t>
        </is>
      </c>
      <c r="B72" s="10" t="inlineStr">
        <is>
          <t>tablet</t>
        </is>
      </c>
      <c r="C72" s="10" t="inlineStr"/>
      <c r="D72" s="10" t="inlineStr"/>
      <c r="E72" s="10" t="inlineStr"/>
      <c r="F72" s="10" t="inlineStr">
        <is>
          <t>WIFI</t>
        </is>
      </c>
      <c r="G72" s="10" t="inlineStr"/>
      <c r="H72" s="10" t="n">
        <v>1</v>
      </c>
      <c r="I72" s="10" t="inlineStr"/>
    </row>
    <row r="73">
      <c r="A73" s="10" t="inlineStr">
        <is>
          <t>MH-018</t>
        </is>
      </c>
      <c r="B73" s="10" t="inlineStr">
        <is>
          <t>router</t>
        </is>
      </c>
      <c r="C73" s="10" t="inlineStr">
        <is>
          <t>Claro</t>
        </is>
      </c>
      <c r="D73" s="10" t="inlineStr"/>
      <c r="E73" s="10" t="inlineStr">
        <is>
          <t>192.168.0.1</t>
        </is>
      </c>
      <c r="F73" s="10" t="inlineStr"/>
      <c r="G73" s="10" t="inlineStr"/>
      <c r="H73" s="10" t="n">
        <v>1</v>
      </c>
      <c r="I73" s="10" t="inlineStr"/>
    </row>
    <row r="74">
      <c r="A74" s="10" t="inlineStr">
        <is>
          <t>MH-018</t>
        </is>
      </c>
      <c r="B74" s="10" t="inlineStr">
        <is>
          <t>printer</t>
        </is>
      </c>
      <c r="C74" s="10" t="inlineStr">
        <is>
          <t>3nStar</t>
        </is>
      </c>
      <c r="D74" s="10" t="inlineStr"/>
      <c r="E74" s="10" t="inlineStr"/>
      <c r="F74" s="10" t="inlineStr"/>
      <c r="G74" s="10" t="inlineStr">
        <is>
          <t>BAR</t>
        </is>
      </c>
      <c r="H74" s="10" t="n">
        <v>1</v>
      </c>
      <c r="I74" s="10" t="inlineStr"/>
    </row>
    <row r="75">
      <c r="A75" s="10" t="inlineStr">
        <is>
          <t>MH-018</t>
        </is>
      </c>
      <c r="B75" s="10" t="inlineStr">
        <is>
          <t>tablet</t>
        </is>
      </c>
      <c r="C75" s="10" t="inlineStr"/>
      <c r="D75" s="10" t="inlineStr"/>
      <c r="E75" s="10" t="inlineStr"/>
      <c r="F75" s="10" t="inlineStr">
        <is>
          <t>WIFI</t>
        </is>
      </c>
      <c r="G75" s="10" t="inlineStr"/>
      <c r="H75" s="10" t="n">
        <v>1</v>
      </c>
      <c r="I75" s="10" t="inlineStr"/>
    </row>
    <row r="76">
      <c r="A76" s="10" t="inlineStr">
        <is>
          <t>MH-019</t>
        </is>
      </c>
      <c r="B76" s="10" t="inlineStr">
        <is>
          <t>pos</t>
        </is>
      </c>
      <c r="C76" s="10" t="inlineStr">
        <is>
          <t>Sunmi</t>
        </is>
      </c>
      <c r="D76" s="10" t="inlineStr">
        <is>
          <t>V2 Pro</t>
        </is>
      </c>
      <c r="E76" s="10" t="inlineStr"/>
      <c r="F76" s="10" t="inlineStr"/>
      <c r="G76" s="10" t="inlineStr">
        <is>
          <t>CAJA</t>
        </is>
      </c>
      <c r="H76" s="10" t="n">
        <v>1</v>
      </c>
      <c r="I76" s="10" t="inlineStr">
        <is>
          <t>Registrado en IDPos</t>
        </is>
      </c>
    </row>
    <row r="77">
      <c r="A77" s="10" t="inlineStr">
        <is>
          <t>MH-020</t>
        </is>
      </c>
      <c r="B77" s="10" t="inlineStr">
        <is>
          <t>router</t>
        </is>
      </c>
      <c r="C77" s="10" t="inlineStr"/>
      <c r="D77" s="10" t="inlineStr"/>
      <c r="E77" s="10" t="inlineStr"/>
      <c r="F77" s="10" t="inlineStr"/>
      <c r="G77" s="10" t="inlineStr">
        <is>
          <t>CAJA</t>
        </is>
      </c>
      <c r="H77" s="10" t="n">
        <v>1</v>
      </c>
      <c r="I77" s="10" t="inlineStr">
        <is>
          <t>Router y switch principal en caja</t>
        </is>
      </c>
    </row>
    <row r="78">
      <c r="A78" s="10" t="inlineStr">
        <is>
          <t>MH-020</t>
        </is>
      </c>
      <c r="B78" s="10" t="inlineStr">
        <is>
          <t>printer</t>
        </is>
      </c>
      <c r="C78" s="10" t="inlineStr"/>
      <c r="D78" s="10" t="inlineStr"/>
      <c r="E78" s="10" t="inlineStr"/>
      <c r="F78" s="10" t="inlineStr"/>
      <c r="G78" s="10" t="inlineStr"/>
      <c r="H78" s="10" t="n">
        <v>4</v>
      </c>
      <c r="I78" s="10" t="inlineStr">
        <is>
          <t>Caja, cocina, bebidas/postres/vinos (piso 1), barra piso 2–terraza</t>
        </is>
      </c>
    </row>
    <row r="79">
      <c r="A79" s="10" t="inlineStr">
        <is>
          <t>MH-022</t>
        </is>
      </c>
      <c r="B79" s="10" t="inlineStr">
        <is>
          <t>pos</t>
        </is>
      </c>
      <c r="C79" s="10" t="inlineStr">
        <is>
          <t>Sunmi</t>
        </is>
      </c>
      <c r="D79" s="10" t="inlineStr">
        <is>
          <t>T2 mini</t>
        </is>
      </c>
      <c r="E79" s="10" t="inlineStr"/>
      <c r="F79" s="10" t="inlineStr"/>
      <c r="G79" s="10" t="inlineStr">
        <is>
          <t>BARRA_1</t>
        </is>
      </c>
      <c r="H79" s="10" t="n">
        <v>2</v>
      </c>
      <c r="I79" s="10" t="inlineStr">
        <is>
          <t>Pantallas</t>
        </is>
      </c>
    </row>
    <row r="80">
      <c r="A80" s="10" t="inlineStr">
        <is>
          <t>MH-022</t>
        </is>
      </c>
      <c r="B80" s="10" t="inlineStr">
        <is>
          <t>pos</t>
        </is>
      </c>
      <c r="C80" s="10" t="inlineStr">
        <is>
          <t>Sunmi</t>
        </is>
      </c>
      <c r="D80" s="10" t="inlineStr">
        <is>
          <t>T2 mini</t>
        </is>
      </c>
      <c r="E80" s="10" t="inlineStr"/>
      <c r="F80" s="10" t="inlineStr"/>
      <c r="G80" s="10" t="inlineStr">
        <is>
          <t>BARRA_2</t>
        </is>
      </c>
      <c r="H80" s="10" t="n">
        <v>1</v>
      </c>
      <c r="I80" s="10" t="inlineStr">
        <is>
          <t>Pantalla</t>
        </is>
      </c>
    </row>
    <row r="81">
      <c r="A81" s="10" t="inlineStr">
        <is>
          <t>MH-022</t>
        </is>
      </c>
      <c r="B81" s="10" t="inlineStr">
        <is>
          <t>printer</t>
        </is>
      </c>
      <c r="C81" s="10" t="inlineStr">
        <is>
          <t>3nStar</t>
        </is>
      </c>
      <c r="D81" s="10" t="inlineStr">
        <is>
          <t>RPT008</t>
        </is>
      </c>
      <c r="E81" s="10" t="inlineStr"/>
      <c r="F81" s="10" t="inlineStr"/>
      <c r="G81" s="10" t="inlineStr">
        <is>
          <t>BARRA_1</t>
        </is>
      </c>
      <c r="H81" s="10" t="n">
        <v>1</v>
      </c>
      <c r="I81" s="10" t="inlineStr">
        <is>
          <t>Comandas</t>
        </is>
      </c>
    </row>
    <row r="82">
      <c r="A82" s="10" t="inlineStr">
        <is>
          <t>MH-022</t>
        </is>
      </c>
      <c r="B82" s="10" t="inlineStr">
        <is>
          <t>printer</t>
        </is>
      </c>
      <c r="C82" s="10" t="inlineStr">
        <is>
          <t>3nStar</t>
        </is>
      </c>
      <c r="D82" s="10" t="inlineStr">
        <is>
          <t>RPT008</t>
        </is>
      </c>
      <c r="E82" s="10" t="inlineStr"/>
      <c r="F82" s="10" t="inlineStr"/>
      <c r="G82" s="10" t="inlineStr">
        <is>
          <t>BARRA_2</t>
        </is>
      </c>
      <c r="H82" s="10" t="n">
        <v>1</v>
      </c>
      <c r="I82" s="10" t="inlineStr">
        <is>
          <t>Comandas</t>
        </is>
      </c>
    </row>
    <row r="83">
      <c r="A83" s="10" t="inlineStr">
        <is>
          <t>MH-022</t>
        </is>
      </c>
      <c r="B83" s="10" t="inlineStr">
        <is>
          <t>computer</t>
        </is>
      </c>
      <c r="C83" s="10" t="inlineStr">
        <is>
          <t>Lenovo</t>
        </is>
      </c>
      <c r="D83" s="10" t="inlineStr">
        <is>
          <t>Laptop Win10</t>
        </is>
      </c>
      <c r="E83" s="10" t="inlineStr"/>
      <c r="F83" s="10" t="inlineStr"/>
      <c r="G83" s="10" t="inlineStr"/>
      <c r="H83" s="10" t="n">
        <v>1</v>
      </c>
      <c r="I83" s="10" t="inlineStr">
        <is>
          <t>No se queda en el local</t>
        </is>
      </c>
    </row>
    <row r="84">
      <c r="A84" s="10" t="inlineStr">
        <is>
          <t>MH-023</t>
        </is>
      </c>
      <c r="B84" s="10" t="inlineStr">
        <is>
          <t>raspberry</t>
        </is>
      </c>
      <c r="C84" s="10" t="inlineStr"/>
      <c r="D84" s="10" t="inlineStr"/>
      <c r="E84" s="10" t="inlineStr"/>
      <c r="F84" s="10" t="inlineStr"/>
      <c r="G84" s="10" t="inlineStr">
        <is>
          <t>CAJA</t>
        </is>
      </c>
      <c r="H84" s="10" t="n">
        <v>1</v>
      </c>
      <c r="I84" s="10" t="inlineStr"/>
    </row>
    <row r="85">
      <c r="A85" s="10" t="inlineStr">
        <is>
          <t>MH-023</t>
        </is>
      </c>
      <c r="B85" s="10" t="inlineStr">
        <is>
          <t>printer</t>
        </is>
      </c>
      <c r="C85" s="10" t="inlineStr"/>
      <c r="D85" s="10" t="inlineStr"/>
      <c r="E85" s="10" t="inlineStr">
        <is>
          <t>192.168.18.17</t>
        </is>
      </c>
      <c r="F85" s="10" t="inlineStr">
        <is>
          <t>CABLE_RED</t>
        </is>
      </c>
      <c r="G85" s="10" t="inlineStr">
        <is>
          <t>CAJA</t>
        </is>
      </c>
      <c r="H85" s="10" t="n">
        <v>1</v>
      </c>
      <c r="I85" s="10" t="inlineStr"/>
    </row>
    <row r="86">
      <c r="A86" s="10" t="inlineStr">
        <is>
          <t>MH-023</t>
        </is>
      </c>
      <c r="B86" s="10" t="inlineStr">
        <is>
          <t>printer</t>
        </is>
      </c>
      <c r="C86" s="10" t="inlineStr"/>
      <c r="D86" s="10" t="inlineStr"/>
      <c r="E86" s="10" t="inlineStr">
        <is>
          <t>192.168.18.35</t>
        </is>
      </c>
      <c r="F86" s="10" t="inlineStr">
        <is>
          <t>CABLE_RED</t>
        </is>
      </c>
      <c r="G86" s="10" t="inlineStr">
        <is>
          <t>BAR</t>
        </is>
      </c>
      <c r="H86" s="10" t="n">
        <v>1</v>
      </c>
      <c r="I86" s="10" t="inlineStr"/>
    </row>
    <row r="87">
      <c r="A87" s="10" t="inlineStr">
        <is>
          <t>MH-023</t>
        </is>
      </c>
      <c r="B87" s="10" t="inlineStr">
        <is>
          <t>printer</t>
        </is>
      </c>
      <c r="C87" s="10" t="inlineStr"/>
      <c r="D87" s="10" t="inlineStr"/>
      <c r="E87" s="10" t="inlineStr">
        <is>
          <t>192.168.18.34</t>
        </is>
      </c>
      <c r="F87" s="10" t="inlineStr">
        <is>
          <t>CABLE_RED</t>
        </is>
      </c>
      <c r="G87" s="10" t="inlineStr">
        <is>
          <t>COCINA</t>
        </is>
      </c>
      <c r="H87" s="10" t="n">
        <v>1</v>
      </c>
      <c r="I87" s="10" t="inlineStr"/>
    </row>
    <row r="88">
      <c r="A88" s="10" t="inlineStr">
        <is>
          <t>MH-023</t>
        </is>
      </c>
      <c r="B88" s="10" t="inlineStr">
        <is>
          <t>printer</t>
        </is>
      </c>
      <c r="C88" s="10" t="inlineStr"/>
      <c r="D88" s="10" t="inlineStr"/>
      <c r="E88" s="10" t="inlineStr">
        <is>
          <t>192.168.18.36</t>
        </is>
      </c>
      <c r="F88" s="10" t="inlineStr">
        <is>
          <t>CABLE_RED</t>
        </is>
      </c>
      <c r="G88" s="10" t="inlineStr">
        <is>
          <t>EMPAQUETADO</t>
        </is>
      </c>
      <c r="H88" s="10" t="n">
        <v>1</v>
      </c>
      <c r="I88" s="10" t="inlineStr"/>
    </row>
    <row r="89">
      <c r="A89" s="10" t="inlineStr">
        <is>
          <t>MH-023</t>
        </is>
      </c>
      <c r="B89" s="10" t="inlineStr">
        <is>
          <t>pos</t>
        </is>
      </c>
      <c r="C89" s="10" t="inlineStr">
        <is>
          <t>Sunmi</t>
        </is>
      </c>
      <c r="D89" s="10" t="inlineStr">
        <is>
          <t>D2 mini</t>
        </is>
      </c>
      <c r="E89" s="10" t="inlineStr"/>
      <c r="F89" s="10" t="inlineStr"/>
      <c r="G89" s="10" t="inlineStr"/>
      <c r="H89" s="10" t="n"/>
      <c r="I89" s="10" t="inlineStr">
        <is>
          <t>Pantallas en patio y salón principal</t>
        </is>
      </c>
    </row>
    <row r="90">
      <c r="A90" s="10" t="inlineStr">
        <is>
          <t>MH-024</t>
        </is>
      </c>
      <c r="B90" s="10" t="inlineStr">
        <is>
          <t>printer</t>
        </is>
      </c>
      <c r="C90" s="10" t="inlineStr">
        <is>
          <t>POSD</t>
        </is>
      </c>
      <c r="D90" s="10" t="inlineStr">
        <is>
          <t>TP 300PRO</t>
        </is>
      </c>
      <c r="E90" s="10" t="inlineStr">
        <is>
          <t>192.168.0.31</t>
        </is>
      </c>
      <c r="F90" s="10" t="inlineStr"/>
      <c r="G90" s="10" t="inlineStr">
        <is>
          <t>CAJA</t>
        </is>
      </c>
      <c r="H90" s="10" t="n">
        <v>1</v>
      </c>
      <c r="I90" s="10" t="inlineStr">
        <is>
          <t>Caja/Barra</t>
        </is>
      </c>
    </row>
    <row r="91">
      <c r="A91" s="10" t="inlineStr">
        <is>
          <t>MH-024</t>
        </is>
      </c>
      <c r="B91" s="10" t="inlineStr">
        <is>
          <t>printer</t>
        </is>
      </c>
      <c r="C91" s="10" t="inlineStr">
        <is>
          <t>POSD</t>
        </is>
      </c>
      <c r="D91" s="10" t="inlineStr">
        <is>
          <t>TP 300PRO</t>
        </is>
      </c>
      <c r="E91" s="10" t="inlineStr">
        <is>
          <t>192.168.0.32</t>
        </is>
      </c>
      <c r="F91" s="10" t="inlineStr"/>
      <c r="G91" s="10" t="inlineStr">
        <is>
          <t>COCINA</t>
        </is>
      </c>
      <c r="H91" s="10" t="n">
        <v>1</v>
      </c>
      <c r="I91" s="10" t="inlineStr"/>
    </row>
    <row r="92">
      <c r="A92" s="10" t="inlineStr">
        <is>
          <t>MH-024</t>
        </is>
      </c>
      <c r="B92" s="10" t="inlineStr">
        <is>
          <t>router</t>
        </is>
      </c>
      <c r="C92" s="10" t="inlineStr">
        <is>
          <t>TP-Link</t>
        </is>
      </c>
      <c r="D92" s="10" t="inlineStr"/>
      <c r="E92" s="10" t="inlineStr"/>
      <c r="F92" s="10" t="inlineStr"/>
      <c r="G92" s="10" t="inlineStr"/>
      <c r="H92" s="10" t="n">
        <v>1</v>
      </c>
      <c r="I92" s="10" t="inlineStr">
        <is>
          <t>Con chip Entel</t>
        </is>
      </c>
    </row>
    <row r="93">
      <c r="A93" s="10" t="inlineStr">
        <is>
          <t>MH-024</t>
        </is>
      </c>
      <c r="B93" s="10" t="inlineStr">
        <is>
          <t>raspberry</t>
        </is>
      </c>
      <c r="C93" s="10" t="inlineStr"/>
      <c r="D93" s="10" t="inlineStr"/>
      <c r="E93" s="10" t="inlineStr"/>
      <c r="F93" s="10" t="inlineStr"/>
      <c r="G93" s="10" t="inlineStr"/>
      <c r="H93" s="10" t="n">
        <v>1</v>
      </c>
      <c r="I93" s="10" t="inlineStr"/>
    </row>
    <row r="94">
      <c r="A94" s="10" t="inlineStr">
        <is>
          <t>MH-025</t>
        </is>
      </c>
      <c r="B94" s="10" t="inlineStr">
        <is>
          <t>printer</t>
        </is>
      </c>
      <c r="C94" s="10" t="inlineStr">
        <is>
          <t>Bienex</t>
        </is>
      </c>
      <c r="D94" s="10" t="inlineStr"/>
      <c r="E94" s="10" t="inlineStr"/>
      <c r="F94" s="10" t="inlineStr"/>
      <c r="G94" s="10" t="inlineStr"/>
      <c r="H94" s="10" t="n">
        <v>4</v>
      </c>
      <c r="I94" s="10" t="inlineStr">
        <is>
          <t>Caja, barra sushi, bar y cocina</t>
        </is>
      </c>
    </row>
    <row r="95">
      <c r="A95" s="10" t="inlineStr">
        <is>
          <t>MH-025</t>
        </is>
      </c>
      <c r="B95" s="10" t="inlineStr">
        <is>
          <t>computer</t>
        </is>
      </c>
      <c r="C95" s="10" t="inlineStr"/>
      <c r="D95" s="10" t="inlineStr">
        <is>
          <t>Laptop</t>
        </is>
      </c>
      <c r="E95" s="10" t="inlineStr"/>
      <c r="F95" s="10" t="inlineStr"/>
      <c r="G95" s="10" t="inlineStr">
        <is>
          <t>CAJA</t>
        </is>
      </c>
      <c r="H95" s="10" t="n">
        <v>1</v>
      </c>
      <c r="I95" s="10" t="inlineStr">
        <is>
          <t>Laptop del local</t>
        </is>
      </c>
    </row>
    <row r="96">
      <c r="A96" s="10" t="inlineStr">
        <is>
          <t>MH-029</t>
        </is>
      </c>
      <c r="B96" s="10" t="inlineStr">
        <is>
          <t>printer</t>
        </is>
      </c>
      <c r="C96" s="10" t="inlineStr"/>
      <c r="D96" s="10" t="inlineStr"/>
      <c r="E96" s="10" t="inlineStr"/>
      <c r="F96" s="10" t="inlineStr"/>
      <c r="G96" s="10" t="inlineStr">
        <is>
          <t>COCINA</t>
        </is>
      </c>
      <c r="H96" s="10" t="n">
        <v>1</v>
      </c>
      <c r="I96" s="10" t="inlineStr"/>
    </row>
    <row r="97">
      <c r="A97" s="10" t="inlineStr">
        <is>
          <t>MH-029</t>
        </is>
      </c>
      <c r="B97" s="10" t="inlineStr">
        <is>
          <t>printer</t>
        </is>
      </c>
      <c r="C97" s="10" t="inlineStr"/>
      <c r="D97" s="10" t="inlineStr"/>
      <c r="E97" s="10" t="inlineStr"/>
      <c r="F97" s="10" t="inlineStr"/>
      <c r="G97" s="10" t="inlineStr">
        <is>
          <t>CAJA</t>
        </is>
      </c>
      <c r="H97" s="10" t="n">
        <v>1</v>
      </c>
      <c r="I97" s="10" t="inlineStr">
        <is>
          <t>Caja-Barra</t>
        </is>
      </c>
    </row>
    <row r="98">
      <c r="A98" s="10" t="inlineStr">
        <is>
          <t>MH-030</t>
        </is>
      </c>
      <c r="B98" s="10" t="inlineStr">
        <is>
          <t>printer</t>
        </is>
      </c>
      <c r="C98" s="10" t="inlineStr"/>
      <c r="D98" s="10" t="inlineStr"/>
      <c r="E98" s="10" t="inlineStr"/>
      <c r="F98" s="10" t="inlineStr">
        <is>
          <t>CABLE_RED</t>
        </is>
      </c>
      <c r="G98" s="10" t="inlineStr"/>
      <c r="H98" s="10" t="n">
        <v>5</v>
      </c>
      <c r="I98" s="10" t="inlineStr">
        <is>
          <t>Caja, ramen, salteados, frituras, makis</t>
        </is>
      </c>
    </row>
    <row r="99">
      <c r="A99" s="10" t="inlineStr">
        <is>
          <t>MH-030</t>
        </is>
      </c>
      <c r="B99" s="10" t="inlineStr">
        <is>
          <t>camera</t>
        </is>
      </c>
      <c r="C99" s="10" t="inlineStr"/>
      <c r="D99" s="10" t="inlineStr"/>
      <c r="E99" s="10" t="inlineStr"/>
      <c r="F99" s="10" t="inlineStr">
        <is>
          <t>CABLE_RED</t>
        </is>
      </c>
      <c r="G99" s="10" t="inlineStr"/>
      <c r="H99" s="10" t="n">
        <v>2</v>
      </c>
      <c r="I99" s="10" t="inlineStr">
        <is>
          <t>En el mismo switch</t>
        </is>
      </c>
    </row>
    <row r="100">
      <c r="A100" s="10" t="inlineStr">
        <is>
          <t>MH-031</t>
        </is>
      </c>
      <c r="B100" s="10" t="inlineStr">
        <is>
          <t>switch</t>
        </is>
      </c>
      <c r="C100" s="10" t="inlineStr"/>
      <c r="D100" s="10" t="inlineStr">
        <is>
          <t>10/100</t>
        </is>
      </c>
      <c r="E100" s="10" t="inlineStr"/>
      <c r="F100" s="10" t="inlineStr"/>
      <c r="G100" s="10" t="inlineStr"/>
      <c r="H100" s="10" t="n">
        <v>1</v>
      </c>
      <c r="I100" s="10" t="inlineStr">
        <is>
          <t>Switch principal</t>
        </is>
      </c>
    </row>
    <row r="101">
      <c r="A101" s="10" t="inlineStr">
        <is>
          <t>MH-031</t>
        </is>
      </c>
      <c r="B101" s="10" t="inlineStr">
        <is>
          <t>access_point</t>
        </is>
      </c>
      <c r="C101" s="10" t="inlineStr"/>
      <c r="D101" s="10" t="inlineStr"/>
      <c r="E101" s="10" t="inlineStr"/>
      <c r="F101" s="10" t="inlineStr"/>
      <c r="G101" s="10" t="inlineStr"/>
      <c r="H101" s="10" t="n">
        <v>3</v>
      </c>
      <c r="I101" s="10" t="inlineStr">
        <is>
          <t>Barra makis, salón zona B, entrada</t>
        </is>
      </c>
    </row>
    <row r="102">
      <c r="A102" s="10" t="inlineStr">
        <is>
          <t>MH-031</t>
        </is>
      </c>
      <c r="B102" s="10" t="inlineStr">
        <is>
          <t>printer</t>
        </is>
      </c>
      <c r="C102" s="10" t="inlineStr"/>
      <c r="D102" s="10" t="inlineStr"/>
      <c r="E102" s="10" t="inlineStr"/>
      <c r="F102" s="10" t="inlineStr">
        <is>
          <t>USB</t>
        </is>
      </c>
      <c r="G102" s="10" t="inlineStr">
        <is>
          <t>CAJA</t>
        </is>
      </c>
      <c r="H102" s="10" t="n">
        <v>1</v>
      </c>
      <c r="I102" s="10" t="inlineStr">
        <is>
          <t>Conectada a la PC</t>
        </is>
      </c>
    </row>
    <row r="103">
      <c r="A103" s="10" t="inlineStr">
        <is>
          <t>MH-031</t>
        </is>
      </c>
      <c r="B103" s="10" t="inlineStr">
        <is>
          <t>tablet</t>
        </is>
      </c>
      <c r="C103" s="10" t="inlineStr"/>
      <c r="D103" s="10" t="inlineStr"/>
      <c r="E103" s="10" t="inlineStr"/>
      <c r="F103" s="10" t="inlineStr">
        <is>
          <t>WIFI</t>
        </is>
      </c>
      <c r="G103" s="10" t="inlineStr"/>
      <c r="H103" s="10" t="n"/>
      <c r="I103" s="10" t="inlineStr">
        <is>
          <t>Mozos</t>
        </is>
      </c>
    </row>
    <row r="104">
      <c r="A104" s="10" t="inlineStr">
        <is>
          <t>MH-032</t>
        </is>
      </c>
      <c r="B104" s="10" t="inlineStr">
        <is>
          <t>switch</t>
        </is>
      </c>
      <c r="C104" s="10" t="inlineStr">
        <is>
          <t>TP-Link</t>
        </is>
      </c>
      <c r="D104" s="10" t="inlineStr">
        <is>
          <t>10/100</t>
        </is>
      </c>
      <c r="E104" s="10" t="inlineStr"/>
      <c r="F104" s="10" t="inlineStr"/>
      <c r="G104" s="10" t="inlineStr"/>
      <c r="H104" s="10" t="n">
        <v>1</v>
      </c>
      <c r="I104" s="10" t="inlineStr">
        <is>
          <t>Switch principal</t>
        </is>
      </c>
    </row>
    <row r="105">
      <c r="A105" s="10" t="inlineStr">
        <is>
          <t>MH-032</t>
        </is>
      </c>
      <c r="B105" s="10" t="inlineStr">
        <is>
          <t>printer</t>
        </is>
      </c>
      <c r="C105" s="10" t="inlineStr"/>
      <c r="D105" s="10" t="inlineStr"/>
      <c r="E105" s="10" t="inlineStr"/>
      <c r="F105" s="10" t="inlineStr">
        <is>
          <t>USB</t>
        </is>
      </c>
      <c r="G105" s="10" t="inlineStr">
        <is>
          <t>CAJA</t>
        </is>
      </c>
      <c r="H105" s="10" t="n">
        <v>1</v>
      </c>
      <c r="I105" s="10" t="inlineStr"/>
    </row>
    <row r="106">
      <c r="A106" s="10" t="inlineStr">
        <is>
          <t>MH-033</t>
        </is>
      </c>
      <c r="B106" s="10" t="inlineStr">
        <is>
          <t>raspberry</t>
        </is>
      </c>
      <c r="C106" s="10" t="inlineStr"/>
      <c r="D106" s="10" t="inlineStr"/>
      <c r="E106" s="10" t="inlineStr"/>
      <c r="F106" s="10" t="inlineStr">
        <is>
          <t>CABLE_RED</t>
        </is>
      </c>
      <c r="G106" s="10" t="inlineStr"/>
      <c r="H106" s="10" t="n">
        <v>1</v>
      </c>
      <c r="I106" s="10" t="inlineStr">
        <is>
          <t>Cable cambiado a Cat6a</t>
        </is>
      </c>
    </row>
    <row r="107">
      <c r="A107" s="10" t="inlineStr">
        <is>
          <t>MH-033</t>
        </is>
      </c>
      <c r="B107" s="10" t="inlineStr">
        <is>
          <t>tablet</t>
        </is>
      </c>
      <c r="C107" s="10" t="inlineStr"/>
      <c r="D107" s="10" t="inlineStr"/>
      <c r="E107" s="10" t="inlineStr"/>
      <c r="F107" s="10" t="inlineStr">
        <is>
          <t>WIFI</t>
        </is>
      </c>
      <c r="G107" s="10" t="inlineStr">
        <is>
          <t>CAJA</t>
        </is>
      </c>
      <c r="H107" s="10" t="n">
        <v>1</v>
      </c>
      <c r="I107" s="10" t="inlineStr">
        <is>
          <t>−37 dBm</t>
        </is>
      </c>
    </row>
    <row r="108">
      <c r="A108" s="10" t="inlineStr">
        <is>
          <t>MH-035</t>
        </is>
      </c>
      <c r="B108" s="10" t="inlineStr">
        <is>
          <t>switch</t>
        </is>
      </c>
      <c r="C108" s="10" t="inlineStr">
        <is>
          <t>TP-Link</t>
        </is>
      </c>
      <c r="D108" s="10" t="inlineStr">
        <is>
          <t>10/100</t>
        </is>
      </c>
      <c r="E108" s="10" t="inlineStr"/>
      <c r="F108" s="10" t="inlineStr"/>
      <c r="G108" s="10" t="inlineStr"/>
      <c r="H108" s="10" t="n">
        <v>1</v>
      </c>
      <c r="I108" s="10" t="inlineStr">
        <is>
          <t>Switch principal</t>
        </is>
      </c>
    </row>
    <row r="109">
      <c r="A109" s="10" t="inlineStr">
        <is>
          <t>MH-035</t>
        </is>
      </c>
      <c r="B109" s="10" t="inlineStr">
        <is>
          <t>printer</t>
        </is>
      </c>
      <c r="C109" s="10" t="inlineStr"/>
      <c r="D109" s="10" t="inlineStr"/>
      <c r="E109" s="10" t="inlineStr"/>
      <c r="F109" s="10" t="inlineStr">
        <is>
          <t>CABLE_RED</t>
        </is>
      </c>
      <c r="G109" s="10" t="inlineStr"/>
      <c r="H109" s="10" t="n">
        <v>6</v>
      </c>
      <c r="I109" s="10" t="inlineStr">
        <is>
          <t>Caja, makis, frituras, ramen, salteados, pre-cuentas</t>
        </is>
      </c>
    </row>
    <row r="110">
      <c r="A110" s="10" t="inlineStr">
        <is>
          <t>MH-036</t>
        </is>
      </c>
      <c r="B110" s="10" t="inlineStr">
        <is>
          <t>switch</t>
        </is>
      </c>
      <c r="C110" s="10" t="inlineStr">
        <is>
          <t>TP-Link</t>
        </is>
      </c>
      <c r="D110" s="10" t="inlineStr">
        <is>
          <t>8 puertos 10/100</t>
        </is>
      </c>
      <c r="E110" s="10" t="inlineStr"/>
      <c r="F110" s="10" t="inlineStr"/>
      <c r="G110" s="10" t="inlineStr"/>
      <c r="H110" s="10" t="n">
        <v>1</v>
      </c>
      <c r="I110" s="10" t="inlineStr"/>
    </row>
    <row r="111">
      <c r="A111" s="10" t="inlineStr">
        <is>
          <t>MH-036</t>
        </is>
      </c>
      <c r="B111" s="10" t="inlineStr">
        <is>
          <t>printer</t>
        </is>
      </c>
      <c r="C111" s="10" t="inlineStr"/>
      <c r="D111" s="10" t="inlineStr"/>
      <c r="E111" s="10" t="inlineStr"/>
      <c r="F111" s="10" t="inlineStr">
        <is>
          <t>CABLE_RED</t>
        </is>
      </c>
      <c r="G111" s="10" t="inlineStr">
        <is>
          <t>CAJA</t>
        </is>
      </c>
      <c r="H111" s="10" t="n">
        <v>1</v>
      </c>
      <c r="I111" s="10" t="inlineStr">
        <is>
          <t>Pierde conexión por cable mal ponchado</t>
        </is>
      </c>
    </row>
    <row r="112">
      <c r="A112" s="10" t="inlineStr">
        <is>
          <t>MH-037</t>
        </is>
      </c>
      <c r="B112" s="10" t="inlineStr">
        <is>
          <t>printer</t>
        </is>
      </c>
      <c r="C112" s="10" t="inlineStr"/>
      <c r="D112" s="10" t="inlineStr"/>
      <c r="E112" s="10" t="inlineStr"/>
      <c r="F112" s="10" t="inlineStr">
        <is>
          <t>USB</t>
        </is>
      </c>
      <c r="G112" s="10" t="inlineStr">
        <is>
          <t>CAJA</t>
        </is>
      </c>
      <c r="H112" s="10" t="n">
        <v>1</v>
      </c>
      <c r="I112" s="10" t="inlineStr"/>
    </row>
    <row r="113">
      <c r="A113" s="10" t="inlineStr">
        <is>
          <t>MH-037</t>
        </is>
      </c>
      <c r="B113" s="10" t="inlineStr">
        <is>
          <t>tablet</t>
        </is>
      </c>
      <c r="C113" s="10" t="inlineStr"/>
      <c r="D113" s="10" t="inlineStr"/>
      <c r="E113" s="10" t="inlineStr"/>
      <c r="F113" s="10" t="inlineStr">
        <is>
          <t>WIFI</t>
        </is>
      </c>
      <c r="G113" s="10" t="inlineStr"/>
      <c r="H113" s="10" t="n">
        <v>5</v>
      </c>
      <c r="I113" s="10" t="inlineStr">
        <is>
          <t>Mozos</t>
        </is>
      </c>
    </row>
    <row r="114">
      <c r="A114" s="10" t="inlineStr">
        <is>
          <t>MH-038</t>
        </is>
      </c>
      <c r="B114" s="10" t="inlineStr">
        <is>
          <t>switch</t>
        </is>
      </c>
      <c r="C114" s="10" t="inlineStr">
        <is>
          <t>TP-Link</t>
        </is>
      </c>
      <c r="D114" s="10" t="inlineStr">
        <is>
          <t>10/100</t>
        </is>
      </c>
      <c r="E114" s="10" t="inlineStr"/>
      <c r="F114" s="10" t="inlineStr"/>
      <c r="G114" s="10" t="inlineStr"/>
      <c r="H114" s="10" t="n">
        <v>1</v>
      </c>
      <c r="I114" s="10" t="inlineStr">
        <is>
          <t>Switch principal</t>
        </is>
      </c>
    </row>
    <row r="115">
      <c r="A115" s="10" t="inlineStr">
        <is>
          <t>MH-038</t>
        </is>
      </c>
      <c r="B115" s="10" t="inlineStr">
        <is>
          <t>printer</t>
        </is>
      </c>
      <c r="C115" s="10" t="inlineStr"/>
      <c r="D115" s="10" t="inlineStr"/>
      <c r="E115" s="10" t="inlineStr"/>
      <c r="F115" s="10" t="inlineStr">
        <is>
          <t>USB</t>
        </is>
      </c>
      <c r="G115" s="10" t="inlineStr">
        <is>
          <t>CAJA</t>
        </is>
      </c>
      <c r="H115" s="10" t="n">
        <v>1</v>
      </c>
      <c r="I115" s="10" t="inlineStr"/>
    </row>
    <row r="116">
      <c r="A116" s="10" t="inlineStr">
        <is>
          <t>MH-038</t>
        </is>
      </c>
      <c r="B116" s="10" t="inlineStr">
        <is>
          <t>tablet</t>
        </is>
      </c>
      <c r="C116" s="10" t="inlineStr">
        <is>
          <t>Lenovo</t>
        </is>
      </c>
      <c r="D116" s="10" t="inlineStr"/>
      <c r="E116" s="10" t="inlineStr"/>
      <c r="F116" s="10" t="inlineStr">
        <is>
          <t>WIFI</t>
        </is>
      </c>
      <c r="G116" s="10" t="inlineStr"/>
      <c r="H116" s="10" t="n">
        <v>5</v>
      </c>
      <c r="I116" s="10" t="inlineStr">
        <is>
          <t>Mozos</t>
        </is>
      </c>
    </row>
    <row r="117">
      <c r="A117" s="10" t="inlineStr">
        <is>
          <t>MH-039</t>
        </is>
      </c>
      <c r="B117" s="10" t="inlineStr">
        <is>
          <t>printer</t>
        </is>
      </c>
      <c r="C117" s="10" t="inlineStr">
        <is>
          <t>3nStar</t>
        </is>
      </c>
      <c r="D117" s="10" t="inlineStr">
        <is>
          <t>RPT006B</t>
        </is>
      </c>
      <c r="E117" s="10" t="inlineStr"/>
      <c r="F117" s="10" t="inlineStr"/>
      <c r="G117" s="10" t="inlineStr">
        <is>
          <t>COCINA_1</t>
        </is>
      </c>
      <c r="H117" s="10" t="n">
        <v>1</v>
      </c>
      <c r="I117" s="10" t="inlineStr">
        <is>
          <t>Caleta 01</t>
        </is>
      </c>
    </row>
    <row r="118">
      <c r="A118" s="10" t="inlineStr">
        <is>
          <t>MH-039</t>
        </is>
      </c>
      <c r="B118" s="10" t="inlineStr">
        <is>
          <t>printer</t>
        </is>
      </c>
      <c r="C118" s="10" t="inlineStr">
        <is>
          <t>3nStar</t>
        </is>
      </c>
      <c r="D118" s="10" t="inlineStr">
        <is>
          <t>RPT006B</t>
        </is>
      </c>
      <c r="E118" s="10" t="inlineStr"/>
      <c r="F118" s="10" t="inlineStr"/>
      <c r="G118" s="10" t="inlineStr">
        <is>
          <t>COCINA_2</t>
        </is>
      </c>
      <c r="H118" s="10" t="n">
        <v>1</v>
      </c>
      <c r="I118" s="10" t="inlineStr">
        <is>
          <t>Caleta 02</t>
        </is>
      </c>
    </row>
    <row r="119">
      <c r="A119" s="10" t="inlineStr">
        <is>
          <t>MH-039</t>
        </is>
      </c>
      <c r="B119" s="10" t="inlineStr">
        <is>
          <t>tablet</t>
        </is>
      </c>
      <c r="C119" s="10" t="inlineStr">
        <is>
          <t>Samsung</t>
        </is>
      </c>
      <c r="D119" s="10" t="inlineStr">
        <is>
          <t>Galaxy Tab A9</t>
        </is>
      </c>
      <c r="E119" s="10" t="inlineStr"/>
      <c r="F119" s="10" t="inlineStr"/>
      <c r="G119" s="10" t="inlineStr"/>
      <c r="H119" s="10" t="n">
        <v>2</v>
      </c>
      <c r="I119" s="10" t="inlineStr"/>
    </row>
    <row r="120">
      <c r="A120" s="10" t="inlineStr">
        <is>
          <t>MH-040</t>
        </is>
      </c>
      <c r="B120" s="10" t="inlineStr">
        <is>
          <t>printer</t>
        </is>
      </c>
      <c r="C120" s="10" t="inlineStr"/>
      <c r="D120" s="10" t="inlineStr"/>
      <c r="E120" s="10" t="inlineStr"/>
      <c r="F120" s="10" t="inlineStr"/>
      <c r="G120" s="10" t="inlineStr">
        <is>
          <t>BAR</t>
        </is>
      </c>
      <c r="H120" s="10" t="n">
        <v>1</v>
      </c>
      <c r="I120" s="10" t="inlineStr">
        <is>
          <t>Bar (Caja)</t>
        </is>
      </c>
    </row>
    <row r="121">
      <c r="A121" s="10" t="inlineStr">
        <is>
          <t>MH-040</t>
        </is>
      </c>
      <c r="B121" s="10" t="inlineStr">
        <is>
          <t>printer</t>
        </is>
      </c>
      <c r="C121" s="10" t="inlineStr"/>
      <c r="D121" s="10" t="inlineStr"/>
      <c r="E121" s="10" t="inlineStr"/>
      <c r="F121" s="10" t="inlineStr"/>
      <c r="G121" s="10" t="inlineStr">
        <is>
          <t>COCINA</t>
        </is>
      </c>
      <c r="H121" s="10" t="n">
        <v>1</v>
      </c>
      <c r="I121" s="10" t="inlineStr">
        <is>
          <t>Deshabilitada: falta cableado</t>
        </is>
      </c>
    </row>
    <row r="122">
      <c r="A122" s="10" t="inlineStr">
        <is>
          <t>MH-040</t>
        </is>
      </c>
      <c r="B122" s="10" t="inlineStr">
        <is>
          <t>repetidor</t>
        </is>
      </c>
      <c r="C122" s="10" t="inlineStr"/>
      <c r="D122" s="10" t="inlineStr"/>
      <c r="E122" s="10" t="inlineStr"/>
      <c r="F122" s="10" t="inlineStr"/>
      <c r="G122" s="10" t="inlineStr"/>
      <c r="H122" s="10" t="n">
        <v>1</v>
      </c>
      <c r="I122" s="10" t="inlineStr"/>
    </row>
    <row r="123">
      <c r="A123" s="10" t="inlineStr">
        <is>
          <t>MH-042</t>
        </is>
      </c>
      <c r="B123" s="10" t="inlineStr">
        <is>
          <t>raspberry</t>
        </is>
      </c>
      <c r="C123" s="10" t="inlineStr"/>
      <c r="D123" s="10" t="inlineStr"/>
      <c r="E123" s="10" t="inlineStr"/>
      <c r="F123" s="10" t="inlineStr">
        <is>
          <t>CABLE_RED</t>
        </is>
      </c>
      <c r="G123" s="10" t="inlineStr"/>
      <c r="H123" s="10" t="n">
        <v>1</v>
      </c>
      <c r="I123" s="10" t="inlineStr"/>
    </row>
    <row r="124">
      <c r="A124" s="10" t="inlineStr">
        <is>
          <t>MH-043</t>
        </is>
      </c>
      <c r="B124" s="10" t="inlineStr">
        <is>
          <t>computer</t>
        </is>
      </c>
      <c r="C124" s="10" t="inlineStr">
        <is>
          <t>ICG</t>
        </is>
      </c>
      <c r="D124" s="10" t="inlineStr">
        <is>
          <t>FlatPosII</t>
        </is>
      </c>
      <c r="E124" s="10" t="inlineStr">
        <is>
          <t>192.168.10.64</t>
        </is>
      </c>
      <c r="F124" s="10" t="inlineStr">
        <is>
          <t>CABLE_RED</t>
        </is>
      </c>
      <c r="G124" s="10" t="inlineStr">
        <is>
          <t>CAJA</t>
        </is>
      </c>
      <c r="H124" s="10" t="n">
        <v>2</v>
      </c>
      <c r="I124" s="10" t="inlineStr">
        <is>
          <t>Terminales Caja 01 y 02</t>
        </is>
      </c>
    </row>
    <row r="125">
      <c r="A125" s="10" t="inlineStr">
        <is>
          <t>MH-043</t>
        </is>
      </c>
      <c r="B125" s="10" t="inlineStr">
        <is>
          <t>printer</t>
        </is>
      </c>
      <c r="C125" s="10" t="inlineStr">
        <is>
          <t>Solux</t>
        </is>
      </c>
      <c r="D125" s="10" t="inlineStr">
        <is>
          <t>SXTP88250</t>
        </is>
      </c>
      <c r="E125" s="10" t="inlineStr"/>
      <c r="F125" s="10" t="inlineStr"/>
      <c r="G125" s="10" t="inlineStr">
        <is>
          <t>CAJA</t>
        </is>
      </c>
      <c r="H125" s="10" t="n">
        <v>1</v>
      </c>
      <c r="I125" s="10" t="inlineStr">
        <is>
          <t>Caja 01; DHCP activado</t>
        </is>
      </c>
    </row>
    <row r="126">
      <c r="A126" s="10" t="inlineStr">
        <is>
          <t>MH-043</t>
        </is>
      </c>
      <c r="B126" s="10" t="inlineStr">
        <is>
          <t>printer</t>
        </is>
      </c>
      <c r="C126" s="10" t="inlineStr">
        <is>
          <t>Solux</t>
        </is>
      </c>
      <c r="D126" s="10" t="inlineStr">
        <is>
          <t>SXTP88300</t>
        </is>
      </c>
      <c r="E126" s="10" t="inlineStr">
        <is>
          <t>192.168.1.87</t>
        </is>
      </c>
      <c r="F126" s="10" t="inlineStr"/>
      <c r="G126" s="10" t="inlineStr">
        <is>
          <t>CAJA</t>
        </is>
      </c>
      <c r="H126" s="10" t="n">
        <v>1</v>
      </c>
      <c r="I126" s="10" t="inlineStr">
        <is>
          <t>Caja 02; DHCP desactivado; otro segmento</t>
        </is>
      </c>
    </row>
    <row r="127">
      <c r="A127" s="10" t="inlineStr">
        <is>
          <t>MH-043</t>
        </is>
      </c>
      <c r="B127" s="10" t="inlineStr">
        <is>
          <t>printer</t>
        </is>
      </c>
      <c r="C127" s="10" t="inlineStr">
        <is>
          <t>TSC</t>
        </is>
      </c>
      <c r="D127" s="10" t="inlineStr">
        <is>
          <t>TE200</t>
        </is>
      </c>
      <c r="E127" s="10" t="inlineStr"/>
      <c r="F127" s="10" t="inlineStr"/>
      <c r="G127" s="10" t="inlineStr">
        <is>
          <t>CAJA</t>
        </is>
      </c>
      <c r="H127" s="10" t="n">
        <v>1</v>
      </c>
      <c r="I127" s="10" t="inlineStr">
        <is>
          <t>Impresora de etiquetas Caja 02</t>
        </is>
      </c>
    </row>
    <row r="128">
      <c r="A128" s="10" t="inlineStr">
        <is>
          <t>MH-043</t>
        </is>
      </c>
      <c r="B128" s="10" t="inlineStr">
        <is>
          <t>pos</t>
        </is>
      </c>
      <c r="C128" s="10" t="inlineStr">
        <is>
          <t>Niubiz</t>
        </is>
      </c>
      <c r="D128" s="10" t="inlineStr"/>
      <c r="E128" s="10" t="inlineStr"/>
      <c r="F128" s="10" t="inlineStr"/>
      <c r="G128" s="10" t="inlineStr">
        <is>
          <t>CAJA</t>
        </is>
      </c>
      <c r="H128" s="10" t="n">
        <v>2</v>
      </c>
      <c r="I128" s="10" t="inlineStr">
        <is>
          <t>POS de pago</t>
        </is>
      </c>
    </row>
    <row r="129">
      <c r="A129" s="10" t="inlineStr">
        <is>
          <t>MH-044</t>
        </is>
      </c>
      <c r="B129" s="10" t="inlineStr">
        <is>
          <t>printer</t>
        </is>
      </c>
      <c r="C129" s="10" t="inlineStr"/>
      <c r="D129" s="10" t="inlineStr"/>
      <c r="E129" s="10" t="inlineStr"/>
      <c r="F129" s="10" t="inlineStr">
        <is>
          <t>CABLE_RED</t>
        </is>
      </c>
      <c r="G129" s="10" t="inlineStr">
        <is>
          <t>BAR</t>
        </is>
      </c>
      <c r="H129" s="10" t="n">
        <v>1</v>
      </c>
      <c r="I129" s="10" t="inlineStr"/>
    </row>
    <row r="130">
      <c r="A130" s="10" t="inlineStr">
        <is>
          <t>MH-044</t>
        </is>
      </c>
      <c r="B130" s="10" t="inlineStr">
        <is>
          <t>printer</t>
        </is>
      </c>
      <c r="C130" s="10" t="inlineStr"/>
      <c r="D130" s="10" t="inlineStr"/>
      <c r="E130" s="10" t="inlineStr"/>
      <c r="F130" s="10" t="inlineStr">
        <is>
          <t>CABLE_RED</t>
        </is>
      </c>
      <c r="G130" s="10" t="inlineStr">
        <is>
          <t>COCINA</t>
        </is>
      </c>
      <c r="H130" s="10" t="n">
        <v>1</v>
      </c>
      <c r="I130" s="10" t="inlineStr"/>
    </row>
    <row r="131">
      <c r="A131" s="10" t="inlineStr">
        <is>
          <t>MH-044</t>
        </is>
      </c>
      <c r="B131" s="10" t="inlineStr">
        <is>
          <t>tablet</t>
        </is>
      </c>
      <c r="C131" s="10" t="inlineStr"/>
      <c r="D131" s="10" t="inlineStr"/>
      <c r="E131" s="10" t="inlineStr"/>
      <c r="F131" s="10" t="inlineStr"/>
      <c r="G131" s="10" t="inlineStr"/>
      <c r="H131" s="10" t="n">
        <v>1</v>
      </c>
      <c r="I131" s="10" t="inlineStr">
        <is>
          <t>Para realizar pedidos</t>
        </is>
      </c>
    </row>
    <row r="132">
      <c r="A132" s="13" t="n"/>
      <c r="B132" s="13" t="n"/>
      <c r="C132" s="13" t="n"/>
      <c r="D132" s="13" t="n"/>
      <c r="E132" s="13" t="n"/>
      <c r="F132" s="13" t="n"/>
      <c r="G132" s="13" t="n"/>
      <c r="H132" s="13" t="n"/>
      <c r="I132" s="13" t="n"/>
    </row>
    <row r="133">
      <c r="A133" s="13" t="n"/>
      <c r="B133" s="13" t="n"/>
      <c r="C133" s="13" t="n"/>
      <c r="D133" s="13" t="n"/>
      <c r="E133" s="13" t="n"/>
      <c r="F133" s="13" t="n"/>
      <c r="G133" s="13" t="n"/>
      <c r="H133" s="13" t="n"/>
      <c r="I133" s="13" t="n"/>
    </row>
    <row r="134">
      <c r="A134" s="13" t="n"/>
      <c r="B134" s="13" t="n"/>
      <c r="C134" s="13" t="n"/>
      <c r="D134" s="13" t="n"/>
      <c r="E134" s="13" t="n"/>
      <c r="F134" s="13" t="n"/>
      <c r="G134" s="13" t="n"/>
      <c r="H134" s="13" t="n"/>
      <c r="I134" s="13" t="n"/>
    </row>
    <row r="135">
      <c r="A135" s="13" t="n"/>
      <c r="B135" s="13" t="n"/>
      <c r="C135" s="13" t="n"/>
      <c r="D135" s="13" t="n"/>
      <c r="E135" s="13" t="n"/>
      <c r="F135" s="13" t="n"/>
      <c r="G135" s="13" t="n"/>
      <c r="H135" s="13" t="n"/>
      <c r="I135" s="13" t="n"/>
    </row>
    <row r="136">
      <c r="A136" s="13" t="n"/>
      <c r="B136" s="13" t="n"/>
      <c r="C136" s="13" t="n"/>
      <c r="D136" s="13" t="n"/>
      <c r="E136" s="13" t="n"/>
      <c r="F136" s="13" t="n"/>
      <c r="G136" s="13" t="n"/>
      <c r="H136" s="13" t="n"/>
      <c r="I136" s="13" t="n"/>
    </row>
    <row r="137">
      <c r="A137" s="13" t="n"/>
      <c r="B137" s="13" t="n"/>
      <c r="C137" s="13" t="n"/>
      <c r="D137" s="13" t="n"/>
      <c r="E137" s="13" t="n"/>
      <c r="F137" s="13" t="n"/>
      <c r="G137" s="13" t="n"/>
      <c r="H137" s="13" t="n"/>
      <c r="I137" s="13" t="n"/>
    </row>
    <row r="138">
      <c r="A138" s="13" t="n"/>
      <c r="B138" s="13" t="n"/>
      <c r="C138" s="13" t="n"/>
      <c r="D138" s="13" t="n"/>
      <c r="E138" s="13" t="n"/>
      <c r="F138" s="13" t="n"/>
      <c r="G138" s="13" t="n"/>
      <c r="H138" s="13" t="n"/>
      <c r="I138" s="13" t="n"/>
    </row>
    <row r="139">
      <c r="A139" s="13" t="n"/>
      <c r="B139" s="13" t="n"/>
      <c r="C139" s="13" t="n"/>
      <c r="D139" s="13" t="n"/>
      <c r="E139" s="13" t="n"/>
      <c r="F139" s="13" t="n"/>
      <c r="G139" s="13" t="n"/>
      <c r="H139" s="13" t="n"/>
      <c r="I139" s="13" t="n"/>
    </row>
    <row r="140">
      <c r="A140" s="13" t="n"/>
      <c r="B140" s="13" t="n"/>
      <c r="C140" s="13" t="n"/>
      <c r="D140" s="13" t="n"/>
      <c r="E140" s="13" t="n"/>
      <c r="F140" s="13" t="n"/>
      <c r="G140" s="13" t="n"/>
      <c r="H140" s="13" t="n"/>
      <c r="I140" s="13" t="n"/>
    </row>
    <row r="141">
      <c r="A141" s="13" t="n"/>
      <c r="B141" s="13" t="n"/>
      <c r="C141" s="13" t="n"/>
      <c r="D141" s="13" t="n"/>
      <c r="E141" s="13" t="n"/>
      <c r="F141" s="13" t="n"/>
      <c r="G141" s="13" t="n"/>
      <c r="H141" s="13" t="n"/>
      <c r="I141" s="13" t="n"/>
    </row>
    <row r="142">
      <c r="A142" s="13" t="n"/>
      <c r="B142" s="13" t="n"/>
      <c r="C142" s="13" t="n"/>
      <c r="D142" s="13" t="n"/>
      <c r="E142" s="13" t="n"/>
      <c r="F142" s="13" t="n"/>
      <c r="G142" s="13" t="n"/>
      <c r="H142" s="13" t="n"/>
      <c r="I142" s="13" t="n"/>
    </row>
    <row r="143">
      <c r="A143" s="13" t="n"/>
      <c r="B143" s="13" t="n"/>
      <c r="C143" s="13" t="n"/>
      <c r="D143" s="13" t="n"/>
      <c r="E143" s="13" t="n"/>
      <c r="F143" s="13" t="n"/>
      <c r="G143" s="13" t="n"/>
      <c r="H143" s="13" t="n"/>
      <c r="I143" s="13" t="n"/>
    </row>
    <row r="144">
      <c r="A144" s="13" t="n"/>
      <c r="B144" s="13" t="n"/>
      <c r="C144" s="13" t="n"/>
      <c r="D144" s="13" t="n"/>
      <c r="E144" s="13" t="n"/>
      <c r="F144" s="13" t="n"/>
      <c r="G144" s="13" t="n"/>
      <c r="H144" s="13" t="n"/>
      <c r="I144" s="13" t="n"/>
    </row>
    <row r="145">
      <c r="A145" s="13" t="n"/>
      <c r="B145" s="13" t="n"/>
      <c r="C145" s="13" t="n"/>
      <c r="D145" s="13" t="n"/>
      <c r="E145" s="13" t="n"/>
      <c r="F145" s="13" t="n"/>
      <c r="G145" s="13" t="n"/>
      <c r="H145" s="13" t="n"/>
      <c r="I145" s="13" t="n"/>
    </row>
    <row r="146">
      <c r="A146" s="13" t="n"/>
      <c r="B146" s="13" t="n"/>
      <c r="C146" s="13" t="n"/>
      <c r="D146" s="13" t="n"/>
      <c r="E146" s="13" t="n"/>
      <c r="F146" s="13" t="n"/>
      <c r="G146" s="13" t="n"/>
      <c r="H146" s="13" t="n"/>
      <c r="I146" s="13" t="n"/>
    </row>
    <row r="147">
      <c r="A147" s="13" t="n"/>
      <c r="B147" s="13" t="n"/>
      <c r="C147" s="13" t="n"/>
      <c r="D147" s="13" t="n"/>
      <c r="E147" s="13" t="n"/>
      <c r="F147" s="13" t="n"/>
      <c r="G147" s="13" t="n"/>
      <c r="H147" s="13" t="n"/>
      <c r="I147" s="13" t="n"/>
    </row>
    <row r="148">
      <c r="A148" s="13" t="n"/>
      <c r="B148" s="13" t="n"/>
      <c r="C148" s="13" t="n"/>
      <c r="D148" s="13" t="n"/>
      <c r="E148" s="13" t="n"/>
      <c r="F148" s="13" t="n"/>
      <c r="G148" s="13" t="n"/>
      <c r="H148" s="13" t="n"/>
      <c r="I148" s="13" t="n"/>
    </row>
    <row r="149">
      <c r="A149" s="13" t="n"/>
      <c r="B149" s="13" t="n"/>
      <c r="C149" s="13" t="n"/>
      <c r="D149" s="13" t="n"/>
      <c r="E149" s="13" t="n"/>
      <c r="F149" s="13" t="n"/>
      <c r="G149" s="13" t="n"/>
      <c r="H149" s="13" t="n"/>
      <c r="I149" s="13" t="n"/>
    </row>
    <row r="150">
      <c r="A150" s="13" t="n"/>
      <c r="B150" s="13" t="n"/>
      <c r="C150" s="13" t="n"/>
      <c r="D150" s="13" t="n"/>
      <c r="E150" s="13" t="n"/>
      <c r="F150" s="13" t="n"/>
      <c r="G150" s="13" t="n"/>
      <c r="H150" s="13" t="n"/>
      <c r="I150" s="13" t="n"/>
    </row>
    <row r="151">
      <c r="A151" s="13" t="n"/>
      <c r="B151" s="13" t="n"/>
      <c r="C151" s="13" t="n"/>
      <c r="D151" s="13" t="n"/>
      <c r="E151" s="13" t="n"/>
      <c r="F151" s="13" t="n"/>
      <c r="G151" s="13" t="n"/>
      <c r="H151" s="13" t="n"/>
      <c r="I151" s="13" t="n"/>
    </row>
    <row r="152">
      <c r="A152" s="13" t="n"/>
      <c r="B152" s="13" t="n"/>
      <c r="C152" s="13" t="n"/>
      <c r="D152" s="13" t="n"/>
      <c r="E152" s="13" t="n"/>
      <c r="F152" s="13" t="n"/>
      <c r="G152" s="13" t="n"/>
      <c r="H152" s="13" t="n"/>
      <c r="I152" s="13" t="n"/>
    </row>
    <row r="153">
      <c r="A153" s="13" t="n"/>
      <c r="B153" s="13" t="n"/>
      <c r="C153" s="13" t="n"/>
      <c r="D153" s="13" t="n"/>
      <c r="E153" s="13" t="n"/>
      <c r="F153" s="13" t="n"/>
      <c r="G153" s="13" t="n"/>
      <c r="H153" s="13" t="n"/>
      <c r="I153" s="13" t="n"/>
    </row>
    <row r="154">
      <c r="A154" s="13" t="n"/>
      <c r="B154" s="13" t="n"/>
      <c r="C154" s="13" t="n"/>
      <c r="D154" s="13" t="n"/>
      <c r="E154" s="13" t="n"/>
      <c r="F154" s="13" t="n"/>
      <c r="G154" s="13" t="n"/>
      <c r="H154" s="13" t="n"/>
      <c r="I154" s="13" t="n"/>
    </row>
    <row r="155">
      <c r="A155" s="13" t="n"/>
      <c r="B155" s="13" t="n"/>
      <c r="C155" s="13" t="n"/>
      <c r="D155" s="13" t="n"/>
      <c r="E155" s="13" t="n"/>
      <c r="F155" s="13" t="n"/>
      <c r="G155" s="13" t="n"/>
      <c r="H155" s="13" t="n"/>
      <c r="I155" s="13" t="n"/>
    </row>
    <row r="156">
      <c r="A156" s="13" t="n"/>
      <c r="B156" s="13" t="n"/>
      <c r="C156" s="13" t="n"/>
      <c r="D156" s="13" t="n"/>
      <c r="E156" s="13" t="n"/>
      <c r="F156" s="13" t="n"/>
      <c r="G156" s="13" t="n"/>
      <c r="H156" s="13" t="n"/>
      <c r="I156" s="13" t="n"/>
    </row>
    <row r="157">
      <c r="A157" s="13" t="n"/>
      <c r="B157" s="13" t="n"/>
      <c r="C157" s="13" t="n"/>
      <c r="D157" s="13" t="n"/>
      <c r="E157" s="13" t="n"/>
      <c r="F157" s="13" t="n"/>
      <c r="G157" s="13" t="n"/>
      <c r="H157" s="13" t="n"/>
      <c r="I157" s="13" t="n"/>
    </row>
    <row r="158">
      <c r="A158" s="13" t="n"/>
      <c r="B158" s="13" t="n"/>
      <c r="C158" s="13" t="n"/>
      <c r="D158" s="13" t="n"/>
      <c r="E158" s="13" t="n"/>
      <c r="F158" s="13" t="n"/>
      <c r="G158" s="13" t="n"/>
      <c r="H158" s="13" t="n"/>
      <c r="I158" s="13" t="n"/>
    </row>
    <row r="159">
      <c r="A159" s="13" t="n"/>
      <c r="B159" s="13" t="n"/>
      <c r="C159" s="13" t="n"/>
      <c r="D159" s="13" t="n"/>
      <c r="E159" s="13" t="n"/>
      <c r="F159" s="13" t="n"/>
      <c r="G159" s="13" t="n"/>
      <c r="H159" s="13" t="n"/>
      <c r="I159" s="13" t="n"/>
    </row>
    <row r="160">
      <c r="A160" s="13" t="n"/>
      <c r="B160" s="13" t="n"/>
      <c r="C160" s="13" t="n"/>
      <c r="D160" s="13" t="n"/>
      <c r="E160" s="13" t="n"/>
      <c r="F160" s="13" t="n"/>
      <c r="G160" s="13" t="n"/>
      <c r="H160" s="13" t="n"/>
      <c r="I160" s="13" t="n"/>
    </row>
    <row r="161">
      <c r="A161" s="13" t="n"/>
      <c r="B161" s="13" t="n"/>
      <c r="C161" s="13" t="n"/>
      <c r="D161" s="13" t="n"/>
      <c r="E161" s="13" t="n"/>
      <c r="F161" s="13" t="n"/>
      <c r="G161" s="13" t="n"/>
      <c r="H161" s="13" t="n"/>
      <c r="I161" s="13" t="n"/>
    </row>
    <row r="162">
      <c r="A162" s="13" t="n"/>
      <c r="B162" s="13" t="n"/>
      <c r="C162" s="13" t="n"/>
      <c r="D162" s="13" t="n"/>
      <c r="E162" s="13" t="n"/>
      <c r="F162" s="13" t="n"/>
      <c r="G162" s="13" t="n"/>
      <c r="H162" s="13" t="n"/>
      <c r="I162" s="13" t="n"/>
    </row>
    <row r="163">
      <c r="A163" s="13" t="n"/>
      <c r="B163" s="13" t="n"/>
      <c r="C163" s="13" t="n"/>
      <c r="D163" s="13" t="n"/>
      <c r="E163" s="13" t="n"/>
      <c r="F163" s="13" t="n"/>
      <c r="G163" s="13" t="n"/>
      <c r="H163" s="13" t="n"/>
      <c r="I163" s="13" t="n"/>
    </row>
    <row r="164">
      <c r="A164" s="13" t="n"/>
      <c r="B164" s="13" t="n"/>
      <c r="C164" s="13" t="n"/>
      <c r="D164" s="13" t="n"/>
      <c r="E164" s="13" t="n"/>
      <c r="F164" s="13" t="n"/>
      <c r="G164" s="13" t="n"/>
      <c r="H164" s="13" t="n"/>
      <c r="I164" s="13" t="n"/>
    </row>
    <row r="165">
      <c r="A165" s="13" t="n"/>
      <c r="B165" s="13" t="n"/>
      <c r="C165" s="13" t="n"/>
      <c r="D165" s="13" t="n"/>
      <c r="E165" s="13" t="n"/>
      <c r="F165" s="13" t="n"/>
      <c r="G165" s="13" t="n"/>
      <c r="H165" s="13" t="n"/>
      <c r="I165" s="13" t="n"/>
    </row>
    <row r="166">
      <c r="A166" s="13" t="n"/>
      <c r="B166" s="13" t="n"/>
      <c r="C166" s="13" t="n"/>
      <c r="D166" s="13" t="n"/>
      <c r="E166" s="13" t="n"/>
      <c r="F166" s="13" t="n"/>
      <c r="G166" s="13" t="n"/>
      <c r="H166" s="13" t="n"/>
      <c r="I166" s="13" t="n"/>
    </row>
    <row r="167">
      <c r="A167" s="13" t="n"/>
      <c r="B167" s="13" t="n"/>
      <c r="C167" s="13" t="n"/>
      <c r="D167" s="13" t="n"/>
      <c r="E167" s="13" t="n"/>
      <c r="F167" s="13" t="n"/>
      <c r="G167" s="13" t="n"/>
      <c r="H167" s="13" t="n"/>
      <c r="I167" s="13" t="n"/>
    </row>
    <row r="168">
      <c r="A168" s="13" t="n"/>
      <c r="B168" s="13" t="n"/>
      <c r="C168" s="13" t="n"/>
      <c r="D168" s="13" t="n"/>
      <c r="E168" s="13" t="n"/>
      <c r="F168" s="13" t="n"/>
      <c r="G168" s="13" t="n"/>
      <c r="H168" s="13" t="n"/>
      <c r="I168" s="13" t="n"/>
    </row>
    <row r="169">
      <c r="A169" s="13" t="n"/>
      <c r="B169" s="13" t="n"/>
      <c r="C169" s="13" t="n"/>
      <c r="D169" s="13" t="n"/>
      <c r="E169" s="13" t="n"/>
      <c r="F169" s="13" t="n"/>
      <c r="G169" s="13" t="n"/>
      <c r="H169" s="13" t="n"/>
      <c r="I169" s="13" t="n"/>
    </row>
    <row r="170">
      <c r="A170" s="13" t="n"/>
      <c r="B170" s="13" t="n"/>
      <c r="C170" s="13" t="n"/>
      <c r="D170" s="13" t="n"/>
      <c r="E170" s="13" t="n"/>
      <c r="F170" s="13" t="n"/>
      <c r="G170" s="13" t="n"/>
      <c r="H170" s="13" t="n"/>
      <c r="I170" s="13" t="n"/>
    </row>
    <row r="171">
      <c r="A171" s="13" t="n"/>
      <c r="B171" s="13" t="n"/>
      <c r="C171" s="13" t="n"/>
      <c r="D171" s="13" t="n"/>
      <c r="E171" s="13" t="n"/>
      <c r="F171" s="13" t="n"/>
      <c r="G171" s="13" t="n"/>
      <c r="H171" s="13" t="n"/>
      <c r="I171" s="13" t="n"/>
    </row>
    <row r="172">
      <c r="A172" s="13" t="n"/>
      <c r="B172" s="13" t="n"/>
      <c r="C172" s="13" t="n"/>
      <c r="D172" s="13" t="n"/>
      <c r="E172" s="13" t="n"/>
      <c r="F172" s="13" t="n"/>
      <c r="G172" s="13" t="n"/>
      <c r="H172" s="13" t="n"/>
      <c r="I172" s="13" t="n"/>
    </row>
    <row r="173">
      <c r="A173" s="13" t="n"/>
      <c r="B173" s="13" t="n"/>
      <c r="C173" s="13" t="n"/>
      <c r="D173" s="13" t="n"/>
      <c r="E173" s="13" t="n"/>
      <c r="F173" s="13" t="n"/>
      <c r="G173" s="13" t="n"/>
      <c r="H173" s="13" t="n"/>
      <c r="I173" s="13" t="n"/>
    </row>
    <row r="174">
      <c r="A174" s="13" t="n"/>
      <c r="B174" s="13" t="n"/>
      <c r="C174" s="13" t="n"/>
      <c r="D174" s="13" t="n"/>
      <c r="E174" s="13" t="n"/>
      <c r="F174" s="13" t="n"/>
      <c r="G174" s="13" t="n"/>
      <c r="H174" s="13" t="n"/>
      <c r="I174" s="13" t="n"/>
    </row>
    <row r="175">
      <c r="A175" s="13" t="n"/>
      <c r="B175" s="13" t="n"/>
      <c r="C175" s="13" t="n"/>
      <c r="D175" s="13" t="n"/>
      <c r="E175" s="13" t="n"/>
      <c r="F175" s="13" t="n"/>
      <c r="G175" s="13" t="n"/>
      <c r="H175" s="13" t="n"/>
      <c r="I175" s="13" t="n"/>
    </row>
    <row r="176">
      <c r="A176" s="13" t="n"/>
      <c r="B176" s="13" t="n"/>
      <c r="C176" s="13" t="n"/>
      <c r="D176" s="13" t="n"/>
      <c r="E176" s="13" t="n"/>
      <c r="F176" s="13" t="n"/>
      <c r="G176" s="13" t="n"/>
      <c r="H176" s="13" t="n"/>
      <c r="I176" s="13" t="n"/>
    </row>
    <row r="177">
      <c r="A177" s="13" t="n"/>
      <c r="B177" s="13" t="n"/>
      <c r="C177" s="13" t="n"/>
      <c r="D177" s="13" t="n"/>
      <c r="E177" s="13" t="n"/>
      <c r="F177" s="13" t="n"/>
      <c r="G177" s="13" t="n"/>
      <c r="H177" s="13" t="n"/>
      <c r="I177" s="13" t="n"/>
    </row>
    <row r="178">
      <c r="A178" s="13" t="n"/>
      <c r="B178" s="13" t="n"/>
      <c r="C178" s="13" t="n"/>
      <c r="D178" s="13" t="n"/>
      <c r="E178" s="13" t="n"/>
      <c r="F178" s="13" t="n"/>
      <c r="G178" s="13" t="n"/>
      <c r="H178" s="13" t="n"/>
      <c r="I178" s="13" t="n"/>
    </row>
    <row r="179">
      <c r="A179" s="13" t="n"/>
      <c r="B179" s="13" t="n"/>
      <c r="C179" s="13" t="n"/>
      <c r="D179" s="13" t="n"/>
      <c r="E179" s="13" t="n"/>
      <c r="F179" s="13" t="n"/>
      <c r="G179" s="13" t="n"/>
      <c r="H179" s="13" t="n"/>
      <c r="I179" s="13" t="n"/>
    </row>
    <row r="180">
      <c r="A180" s="13" t="n"/>
      <c r="B180" s="13" t="n"/>
      <c r="C180" s="13" t="n"/>
      <c r="D180" s="13" t="n"/>
      <c r="E180" s="13" t="n"/>
      <c r="F180" s="13" t="n"/>
      <c r="G180" s="13" t="n"/>
      <c r="H180" s="13" t="n"/>
      <c r="I180" s="13" t="n"/>
    </row>
    <row r="181">
      <c r="A181" s="13" t="n"/>
      <c r="B181" s="13" t="n"/>
      <c r="C181" s="13" t="n"/>
      <c r="D181" s="13" t="n"/>
      <c r="E181" s="13" t="n"/>
      <c r="F181" s="13" t="n"/>
      <c r="G181" s="13" t="n"/>
      <c r="H181" s="13" t="n"/>
      <c r="I181" s="13" t="n"/>
    </row>
    <row r="182">
      <c r="A182" s="13" t="n"/>
      <c r="B182" s="13" t="n"/>
      <c r="C182" s="13" t="n"/>
      <c r="D182" s="13" t="n"/>
      <c r="E182" s="13" t="n"/>
      <c r="F182" s="13" t="n"/>
      <c r="G182" s="13" t="n"/>
      <c r="H182" s="13" t="n"/>
      <c r="I182" s="13" t="n"/>
    </row>
    <row r="183">
      <c r="A183" s="13" t="n"/>
      <c r="B183" s="13" t="n"/>
      <c r="C183" s="13" t="n"/>
      <c r="D183" s="13" t="n"/>
      <c r="E183" s="13" t="n"/>
      <c r="F183" s="13" t="n"/>
      <c r="G183" s="13" t="n"/>
      <c r="H183" s="13" t="n"/>
      <c r="I183" s="13" t="n"/>
    </row>
    <row r="184">
      <c r="A184" s="13" t="n"/>
      <c r="B184" s="13" t="n"/>
      <c r="C184" s="13" t="n"/>
      <c r="D184" s="13" t="n"/>
      <c r="E184" s="13" t="n"/>
      <c r="F184" s="13" t="n"/>
      <c r="G184" s="13" t="n"/>
      <c r="H184" s="13" t="n"/>
      <c r="I184" s="13" t="n"/>
    </row>
    <row r="185">
      <c r="A185" s="13" t="n"/>
      <c r="B185" s="13" t="n"/>
      <c r="C185" s="13" t="n"/>
      <c r="D185" s="13" t="n"/>
      <c r="E185" s="13" t="n"/>
      <c r="F185" s="13" t="n"/>
      <c r="G185" s="13" t="n"/>
      <c r="H185" s="13" t="n"/>
      <c r="I185" s="13" t="n"/>
    </row>
    <row r="186">
      <c r="A186" s="13" t="n"/>
      <c r="B186" s="13" t="n"/>
      <c r="C186" s="13" t="n"/>
      <c r="D186" s="13" t="n"/>
      <c r="E186" s="13" t="n"/>
      <c r="F186" s="13" t="n"/>
      <c r="G186" s="13" t="n"/>
      <c r="H186" s="13" t="n"/>
      <c r="I186" s="13" t="n"/>
    </row>
    <row r="187">
      <c r="A187" s="13" t="n"/>
      <c r="B187" s="13" t="n"/>
      <c r="C187" s="13" t="n"/>
      <c r="D187" s="13" t="n"/>
      <c r="E187" s="13" t="n"/>
      <c r="F187" s="13" t="n"/>
      <c r="G187" s="13" t="n"/>
      <c r="H187" s="13" t="n"/>
      <c r="I187" s="13" t="n"/>
    </row>
    <row r="188">
      <c r="A188" s="13" t="n"/>
      <c r="B188" s="13" t="n"/>
      <c r="C188" s="13" t="n"/>
      <c r="D188" s="13" t="n"/>
      <c r="E188" s="13" t="n"/>
      <c r="F188" s="13" t="n"/>
      <c r="G188" s="13" t="n"/>
      <c r="H188" s="13" t="n"/>
      <c r="I188" s="13" t="n"/>
    </row>
    <row r="189">
      <c r="A189" s="13" t="n"/>
      <c r="B189" s="13" t="n"/>
      <c r="C189" s="13" t="n"/>
      <c r="D189" s="13" t="n"/>
      <c r="E189" s="13" t="n"/>
      <c r="F189" s="13" t="n"/>
      <c r="G189" s="13" t="n"/>
      <c r="H189" s="13" t="n"/>
      <c r="I189" s="13" t="n"/>
    </row>
    <row r="190">
      <c r="A190" s="13" t="n"/>
      <c r="B190" s="13" t="n"/>
      <c r="C190" s="13" t="n"/>
      <c r="D190" s="13" t="n"/>
      <c r="E190" s="13" t="n"/>
      <c r="F190" s="13" t="n"/>
      <c r="G190" s="13" t="n"/>
      <c r="H190" s="13" t="n"/>
      <c r="I190" s="13" t="n"/>
    </row>
    <row r="191">
      <c r="A191" s="13" t="n"/>
      <c r="B191" s="13" t="n"/>
      <c r="C191" s="13" t="n"/>
      <c r="D191" s="13" t="n"/>
      <c r="E191" s="13" t="n"/>
      <c r="F191" s="13" t="n"/>
      <c r="G191" s="13" t="n"/>
      <c r="H191" s="13" t="n"/>
      <c r="I191" s="13" t="n"/>
    </row>
    <row r="192">
      <c r="A192" s="13" t="n"/>
      <c r="B192" s="13" t="n"/>
      <c r="C192" s="13" t="n"/>
      <c r="D192" s="13" t="n"/>
      <c r="E192" s="13" t="n"/>
      <c r="F192" s="13" t="n"/>
      <c r="G192" s="13" t="n"/>
      <c r="H192" s="13" t="n"/>
      <c r="I192" s="13" t="n"/>
    </row>
    <row r="193">
      <c r="A193" s="13" t="n"/>
      <c r="B193" s="13" t="n"/>
      <c r="C193" s="13" t="n"/>
      <c r="D193" s="13" t="n"/>
      <c r="E193" s="13" t="n"/>
      <c r="F193" s="13" t="n"/>
      <c r="G193" s="13" t="n"/>
      <c r="H193" s="13" t="n"/>
      <c r="I193" s="13" t="n"/>
    </row>
    <row r="194">
      <c r="A194" s="13" t="n"/>
      <c r="B194" s="13" t="n"/>
      <c r="C194" s="13" t="n"/>
      <c r="D194" s="13" t="n"/>
      <c r="E194" s="13" t="n"/>
      <c r="F194" s="13" t="n"/>
      <c r="G194" s="13" t="n"/>
      <c r="H194" s="13" t="n"/>
      <c r="I194" s="13" t="n"/>
    </row>
    <row r="195">
      <c r="A195" s="13" t="n"/>
      <c r="B195" s="13" t="n"/>
      <c r="C195" s="13" t="n"/>
      <c r="D195" s="13" t="n"/>
      <c r="E195" s="13" t="n"/>
      <c r="F195" s="13" t="n"/>
      <c r="G195" s="13" t="n"/>
      <c r="H195" s="13" t="n"/>
      <c r="I195" s="13" t="n"/>
    </row>
    <row r="196">
      <c r="A196" s="13" t="n"/>
      <c r="B196" s="13" t="n"/>
      <c r="C196" s="13" t="n"/>
      <c r="D196" s="13" t="n"/>
      <c r="E196" s="13" t="n"/>
      <c r="F196" s="13" t="n"/>
      <c r="G196" s="13" t="n"/>
      <c r="H196" s="13" t="n"/>
      <c r="I196" s="13" t="n"/>
    </row>
    <row r="197">
      <c r="A197" s="13" t="n"/>
      <c r="B197" s="13" t="n"/>
      <c r="C197" s="13" t="n"/>
      <c r="D197" s="13" t="n"/>
      <c r="E197" s="13" t="n"/>
      <c r="F197" s="13" t="n"/>
      <c r="G197" s="13" t="n"/>
      <c r="H197" s="13" t="n"/>
      <c r="I197" s="13" t="n"/>
    </row>
    <row r="198">
      <c r="A198" s="13" t="n"/>
      <c r="B198" s="13" t="n"/>
      <c r="C198" s="13" t="n"/>
      <c r="D198" s="13" t="n"/>
      <c r="E198" s="13" t="n"/>
      <c r="F198" s="13" t="n"/>
      <c r="G198" s="13" t="n"/>
      <c r="H198" s="13" t="n"/>
      <c r="I198" s="13" t="n"/>
    </row>
    <row r="199">
      <c r="A199" s="13" t="n"/>
      <c r="B199" s="13" t="n"/>
      <c r="C199" s="13" t="n"/>
      <c r="D199" s="13" t="n"/>
      <c r="E199" s="13" t="n"/>
      <c r="F199" s="13" t="n"/>
      <c r="G199" s="13" t="n"/>
      <c r="H199" s="13" t="n"/>
      <c r="I199" s="13" t="n"/>
    </row>
    <row r="200">
      <c r="A200" s="13" t="n"/>
      <c r="B200" s="13" t="n"/>
      <c r="C200" s="13" t="n"/>
      <c r="D200" s="13" t="n"/>
      <c r="E200" s="13" t="n"/>
      <c r="F200" s="13" t="n"/>
      <c r="G200" s="13" t="n"/>
      <c r="H200" s="13" t="n"/>
      <c r="I200" s="13" t="n"/>
    </row>
    <row r="201">
      <c r="A201" s="13" t="n"/>
      <c r="B201" s="13" t="n"/>
      <c r="C201" s="13" t="n"/>
      <c r="D201" s="13" t="n"/>
      <c r="E201" s="13" t="n"/>
      <c r="F201" s="13" t="n"/>
      <c r="G201" s="13" t="n"/>
      <c r="H201" s="13" t="n"/>
      <c r="I201" s="13" t="n"/>
    </row>
    <row r="202">
      <c r="A202" s="13" t="n"/>
      <c r="B202" s="13" t="n"/>
      <c r="C202" s="13" t="n"/>
      <c r="D202" s="13" t="n"/>
      <c r="E202" s="13" t="n"/>
      <c r="F202" s="13" t="n"/>
      <c r="G202" s="13" t="n"/>
      <c r="H202" s="13" t="n"/>
      <c r="I202" s="13" t="n"/>
    </row>
    <row r="203">
      <c r="A203" s="13" t="n"/>
      <c r="B203" s="13" t="n"/>
      <c r="C203" s="13" t="n"/>
      <c r="D203" s="13" t="n"/>
      <c r="E203" s="13" t="n"/>
      <c r="F203" s="13" t="n"/>
      <c r="G203" s="13" t="n"/>
      <c r="H203" s="13" t="n"/>
      <c r="I203" s="13" t="n"/>
    </row>
    <row r="204">
      <c r="A204" s="13" t="n"/>
      <c r="B204" s="13" t="n"/>
      <c r="C204" s="13" t="n"/>
      <c r="D204" s="13" t="n"/>
      <c r="E204" s="13" t="n"/>
      <c r="F204" s="13" t="n"/>
      <c r="G204" s="13" t="n"/>
      <c r="H204" s="13" t="n"/>
      <c r="I204" s="13" t="n"/>
    </row>
    <row r="205">
      <c r="A205" s="13" t="n"/>
      <c r="B205" s="13" t="n"/>
      <c r="C205" s="13" t="n"/>
      <c r="D205" s="13" t="n"/>
      <c r="E205" s="13" t="n"/>
      <c r="F205" s="13" t="n"/>
      <c r="G205" s="13" t="n"/>
      <c r="H205" s="13" t="n"/>
      <c r="I205" s="13" t="n"/>
    </row>
    <row r="206">
      <c r="A206" s="13" t="n"/>
      <c r="B206" s="13" t="n"/>
      <c r="C206" s="13" t="n"/>
      <c r="D206" s="13" t="n"/>
      <c r="E206" s="13" t="n"/>
      <c r="F206" s="13" t="n"/>
      <c r="G206" s="13" t="n"/>
      <c r="H206" s="13" t="n"/>
      <c r="I206" s="13" t="n"/>
    </row>
    <row r="207">
      <c r="A207" s="13" t="n"/>
      <c r="B207" s="13" t="n"/>
      <c r="C207" s="13" t="n"/>
      <c r="D207" s="13" t="n"/>
      <c r="E207" s="13" t="n"/>
      <c r="F207" s="13" t="n"/>
      <c r="G207" s="13" t="n"/>
      <c r="H207" s="13" t="n"/>
      <c r="I207" s="13" t="n"/>
    </row>
    <row r="208">
      <c r="A208" s="13" t="n"/>
      <c r="B208" s="13" t="n"/>
      <c r="C208" s="13" t="n"/>
      <c r="D208" s="13" t="n"/>
      <c r="E208" s="13" t="n"/>
      <c r="F208" s="13" t="n"/>
      <c r="G208" s="13" t="n"/>
      <c r="H208" s="13" t="n"/>
      <c r="I208" s="13" t="n"/>
    </row>
    <row r="209">
      <c r="A209" s="13" t="n"/>
      <c r="B209" s="13" t="n"/>
      <c r="C209" s="13" t="n"/>
      <c r="D209" s="13" t="n"/>
      <c r="E209" s="13" t="n"/>
      <c r="F209" s="13" t="n"/>
      <c r="G209" s="13" t="n"/>
      <c r="H209" s="13" t="n"/>
      <c r="I209" s="13" t="n"/>
    </row>
    <row r="210">
      <c r="A210" s="13" t="n"/>
      <c r="B210" s="13" t="n"/>
      <c r="C210" s="13" t="n"/>
      <c r="D210" s="13" t="n"/>
      <c r="E210" s="13" t="n"/>
      <c r="F210" s="13" t="n"/>
      <c r="G210" s="13" t="n"/>
      <c r="H210" s="13" t="n"/>
      <c r="I210" s="13" t="n"/>
    </row>
    <row r="211">
      <c r="A211" s="13" t="n"/>
      <c r="B211" s="13" t="n"/>
      <c r="C211" s="13" t="n"/>
      <c r="D211" s="13" t="n"/>
      <c r="E211" s="13" t="n"/>
      <c r="F211" s="13" t="n"/>
      <c r="G211" s="13" t="n"/>
      <c r="H211" s="13" t="n"/>
      <c r="I211" s="13" t="n"/>
    </row>
    <row r="212">
      <c r="A212" s="13" t="n"/>
      <c r="B212" s="13" t="n"/>
      <c r="C212" s="13" t="n"/>
      <c r="D212" s="13" t="n"/>
      <c r="E212" s="13" t="n"/>
      <c r="F212" s="13" t="n"/>
      <c r="G212" s="13" t="n"/>
      <c r="H212" s="13" t="n"/>
      <c r="I212" s="13" t="n"/>
    </row>
    <row r="213">
      <c r="A213" s="13" t="n"/>
      <c r="B213" s="13" t="n"/>
      <c r="C213" s="13" t="n"/>
      <c r="D213" s="13" t="n"/>
      <c r="E213" s="13" t="n"/>
      <c r="F213" s="13" t="n"/>
      <c r="G213" s="13" t="n"/>
      <c r="H213" s="13" t="n"/>
      <c r="I213" s="13" t="n"/>
    </row>
    <row r="214">
      <c r="A214" s="13" t="n"/>
      <c r="B214" s="13" t="n"/>
      <c r="C214" s="13" t="n"/>
      <c r="D214" s="13" t="n"/>
      <c r="E214" s="13" t="n"/>
      <c r="F214" s="13" t="n"/>
      <c r="G214" s="13" t="n"/>
      <c r="H214" s="13" t="n"/>
      <c r="I214" s="13" t="n"/>
    </row>
    <row r="215">
      <c r="A215" s="13" t="n"/>
      <c r="B215" s="13" t="n"/>
      <c r="C215" s="13" t="n"/>
      <c r="D215" s="13" t="n"/>
      <c r="E215" s="13" t="n"/>
      <c r="F215" s="13" t="n"/>
      <c r="G215" s="13" t="n"/>
      <c r="H215" s="13" t="n"/>
      <c r="I215" s="13" t="n"/>
    </row>
    <row r="216">
      <c r="A216" s="13" t="n"/>
      <c r="B216" s="13" t="n"/>
      <c r="C216" s="13" t="n"/>
      <c r="D216" s="13" t="n"/>
      <c r="E216" s="13" t="n"/>
      <c r="F216" s="13" t="n"/>
      <c r="G216" s="13" t="n"/>
      <c r="H216" s="13" t="n"/>
      <c r="I216" s="13" t="n"/>
    </row>
    <row r="217">
      <c r="A217" s="13" t="n"/>
      <c r="B217" s="13" t="n"/>
      <c r="C217" s="13" t="n"/>
      <c r="D217" s="13" t="n"/>
      <c r="E217" s="13" t="n"/>
      <c r="F217" s="13" t="n"/>
      <c r="G217" s="13" t="n"/>
      <c r="H217" s="13" t="n"/>
      <c r="I217" s="13" t="n"/>
    </row>
    <row r="218">
      <c r="A218" s="13" t="n"/>
      <c r="B218" s="13" t="n"/>
      <c r="C218" s="13" t="n"/>
      <c r="D218" s="13" t="n"/>
      <c r="E218" s="13" t="n"/>
      <c r="F218" s="13" t="n"/>
      <c r="G218" s="13" t="n"/>
      <c r="H218" s="13" t="n"/>
      <c r="I218" s="13" t="n"/>
    </row>
    <row r="219">
      <c r="A219" s="13" t="n"/>
      <c r="B219" s="13" t="n"/>
      <c r="C219" s="13" t="n"/>
      <c r="D219" s="13" t="n"/>
      <c r="E219" s="13" t="n"/>
      <c r="F219" s="13" t="n"/>
      <c r="G219" s="13" t="n"/>
      <c r="H219" s="13" t="n"/>
      <c r="I219" s="13" t="n"/>
    </row>
    <row r="220">
      <c r="A220" s="13" t="n"/>
      <c r="B220" s="13" t="n"/>
      <c r="C220" s="13" t="n"/>
      <c r="D220" s="13" t="n"/>
      <c r="E220" s="13" t="n"/>
      <c r="F220" s="13" t="n"/>
      <c r="G220" s="13" t="n"/>
      <c r="H220" s="13" t="n"/>
      <c r="I220" s="13" t="n"/>
    </row>
    <row r="221">
      <c r="A221" s="13" t="n"/>
      <c r="B221" s="13" t="n"/>
      <c r="C221" s="13" t="n"/>
      <c r="D221" s="13" t="n"/>
      <c r="E221" s="13" t="n"/>
      <c r="F221" s="13" t="n"/>
      <c r="G221" s="13" t="n"/>
      <c r="H221" s="13" t="n"/>
      <c r="I221" s="13" t="n"/>
    </row>
    <row r="222">
      <c r="A222" s="13" t="n"/>
      <c r="B222" s="13" t="n"/>
      <c r="C222" s="13" t="n"/>
      <c r="D222" s="13" t="n"/>
      <c r="E222" s="13" t="n"/>
      <c r="F222" s="13" t="n"/>
      <c r="G222" s="13" t="n"/>
      <c r="H222" s="13" t="n"/>
      <c r="I222" s="13" t="n"/>
    </row>
    <row r="223">
      <c r="A223" s="13" t="n"/>
      <c r="B223" s="13" t="n"/>
      <c r="C223" s="13" t="n"/>
      <c r="D223" s="13" t="n"/>
      <c r="E223" s="13" t="n"/>
      <c r="F223" s="13" t="n"/>
      <c r="G223" s="13" t="n"/>
      <c r="H223" s="13" t="n"/>
      <c r="I223" s="13" t="n"/>
    </row>
    <row r="224">
      <c r="A224" s="13" t="n"/>
      <c r="B224" s="13" t="n"/>
      <c r="C224" s="13" t="n"/>
      <c r="D224" s="13" t="n"/>
      <c r="E224" s="13" t="n"/>
      <c r="F224" s="13" t="n"/>
      <c r="G224" s="13" t="n"/>
      <c r="H224" s="13" t="n"/>
      <c r="I224" s="13" t="n"/>
    </row>
    <row r="225">
      <c r="A225" s="13" t="n"/>
      <c r="B225" s="13" t="n"/>
      <c r="C225" s="13" t="n"/>
      <c r="D225" s="13" t="n"/>
      <c r="E225" s="13" t="n"/>
      <c r="F225" s="13" t="n"/>
      <c r="G225" s="13" t="n"/>
      <c r="H225" s="13" t="n"/>
      <c r="I225" s="13" t="n"/>
    </row>
    <row r="226">
      <c r="A226" s="13" t="n"/>
      <c r="B226" s="13" t="n"/>
      <c r="C226" s="13" t="n"/>
      <c r="D226" s="13" t="n"/>
      <c r="E226" s="13" t="n"/>
      <c r="F226" s="13" t="n"/>
      <c r="G226" s="13" t="n"/>
      <c r="H226" s="13" t="n"/>
      <c r="I226" s="13" t="n"/>
    </row>
    <row r="227">
      <c r="A227" s="13" t="n"/>
      <c r="B227" s="13" t="n"/>
      <c r="C227" s="13" t="n"/>
      <c r="D227" s="13" t="n"/>
      <c r="E227" s="13" t="n"/>
      <c r="F227" s="13" t="n"/>
      <c r="G227" s="13" t="n"/>
      <c r="H227" s="13" t="n"/>
      <c r="I227" s="13" t="n"/>
    </row>
    <row r="228">
      <c r="A228" s="13" t="n"/>
      <c r="B228" s="13" t="n"/>
      <c r="C228" s="13" t="n"/>
      <c r="D228" s="13" t="n"/>
      <c r="E228" s="13" t="n"/>
      <c r="F228" s="13" t="n"/>
      <c r="G228" s="13" t="n"/>
      <c r="H228" s="13" t="n"/>
      <c r="I228" s="13" t="n"/>
    </row>
    <row r="229">
      <c r="A229" s="13" t="n"/>
      <c r="B229" s="13" t="n"/>
      <c r="C229" s="13" t="n"/>
      <c r="D229" s="13" t="n"/>
      <c r="E229" s="13" t="n"/>
      <c r="F229" s="13" t="n"/>
      <c r="G229" s="13" t="n"/>
      <c r="H229" s="13" t="n"/>
      <c r="I229" s="13" t="n"/>
    </row>
    <row r="230">
      <c r="A230" s="13" t="n"/>
      <c r="B230" s="13" t="n"/>
      <c r="C230" s="13" t="n"/>
      <c r="D230" s="13" t="n"/>
      <c r="E230" s="13" t="n"/>
      <c r="F230" s="13" t="n"/>
      <c r="G230" s="13" t="n"/>
      <c r="H230" s="13" t="n"/>
      <c r="I230" s="13" t="n"/>
    </row>
    <row r="231">
      <c r="A231" s="13" t="n"/>
      <c r="B231" s="13" t="n"/>
      <c r="C231" s="13" t="n"/>
      <c r="D231" s="13" t="n"/>
      <c r="E231" s="13" t="n"/>
      <c r="F231" s="13" t="n"/>
      <c r="G231" s="13" t="n"/>
      <c r="H231" s="13" t="n"/>
      <c r="I231" s="13" t="n"/>
    </row>
    <row r="232">
      <c r="A232" s="13" t="n"/>
      <c r="B232" s="13" t="n"/>
      <c r="C232" s="13" t="n"/>
      <c r="D232" s="13" t="n"/>
      <c r="E232" s="13" t="n"/>
      <c r="F232" s="13" t="n"/>
      <c r="G232" s="13" t="n"/>
      <c r="H232" s="13" t="n"/>
      <c r="I232" s="13" t="n"/>
    </row>
    <row r="233">
      <c r="A233" s="13" t="n"/>
      <c r="B233" s="13" t="n"/>
      <c r="C233" s="13" t="n"/>
      <c r="D233" s="13" t="n"/>
      <c r="E233" s="13" t="n"/>
      <c r="F233" s="13" t="n"/>
      <c r="G233" s="13" t="n"/>
      <c r="H233" s="13" t="n"/>
      <c r="I233" s="13" t="n"/>
    </row>
    <row r="234">
      <c r="A234" s="13" t="n"/>
      <c r="B234" s="13" t="n"/>
      <c r="C234" s="13" t="n"/>
      <c r="D234" s="13" t="n"/>
      <c r="E234" s="13" t="n"/>
      <c r="F234" s="13" t="n"/>
      <c r="G234" s="13" t="n"/>
      <c r="H234" s="13" t="n"/>
      <c r="I234" s="13" t="n"/>
    </row>
    <row r="235">
      <c r="A235" s="13" t="n"/>
      <c r="B235" s="13" t="n"/>
      <c r="C235" s="13" t="n"/>
      <c r="D235" s="13" t="n"/>
      <c r="E235" s="13" t="n"/>
      <c r="F235" s="13" t="n"/>
      <c r="G235" s="13" t="n"/>
      <c r="H235" s="13" t="n"/>
      <c r="I235" s="13" t="n"/>
    </row>
    <row r="236">
      <c r="A236" s="13" t="n"/>
      <c r="B236" s="13" t="n"/>
      <c r="C236" s="13" t="n"/>
      <c r="D236" s="13" t="n"/>
      <c r="E236" s="13" t="n"/>
      <c r="F236" s="13" t="n"/>
      <c r="G236" s="13" t="n"/>
      <c r="H236" s="13" t="n"/>
      <c r="I236" s="13" t="n"/>
    </row>
    <row r="237">
      <c r="A237" s="13" t="n"/>
      <c r="B237" s="13" t="n"/>
      <c r="C237" s="13" t="n"/>
      <c r="D237" s="13" t="n"/>
      <c r="E237" s="13" t="n"/>
      <c r="F237" s="13" t="n"/>
      <c r="G237" s="13" t="n"/>
      <c r="H237" s="13" t="n"/>
      <c r="I237" s="13" t="n"/>
    </row>
    <row r="238">
      <c r="A238" s="13" t="n"/>
      <c r="B238" s="13" t="n"/>
      <c r="C238" s="13" t="n"/>
      <c r="D238" s="13" t="n"/>
      <c r="E238" s="13" t="n"/>
      <c r="F238" s="13" t="n"/>
      <c r="G238" s="13" t="n"/>
      <c r="H238" s="13" t="n"/>
      <c r="I238" s="13" t="n"/>
    </row>
    <row r="239">
      <c r="A239" s="13" t="n"/>
      <c r="B239" s="13" t="n"/>
      <c r="C239" s="13" t="n"/>
      <c r="D239" s="13" t="n"/>
      <c r="E239" s="13" t="n"/>
      <c r="F239" s="13" t="n"/>
      <c r="G239" s="13" t="n"/>
      <c r="H239" s="13" t="n"/>
      <c r="I239" s="13" t="n"/>
    </row>
    <row r="240">
      <c r="A240" s="13" t="n"/>
      <c r="B240" s="13" t="n"/>
      <c r="C240" s="13" t="n"/>
      <c r="D240" s="13" t="n"/>
      <c r="E240" s="13" t="n"/>
      <c r="F240" s="13" t="n"/>
      <c r="G240" s="13" t="n"/>
      <c r="H240" s="13" t="n"/>
      <c r="I240" s="13" t="n"/>
    </row>
    <row r="241">
      <c r="A241" s="13" t="n"/>
      <c r="B241" s="13" t="n"/>
      <c r="C241" s="13" t="n"/>
      <c r="D241" s="13" t="n"/>
      <c r="E241" s="13" t="n"/>
      <c r="F241" s="13" t="n"/>
      <c r="G241" s="13" t="n"/>
      <c r="H241" s="13" t="n"/>
      <c r="I241" s="13" t="n"/>
    </row>
    <row r="242">
      <c r="A242" s="13" t="n"/>
      <c r="B242" s="13" t="n"/>
      <c r="C242" s="13" t="n"/>
      <c r="D242" s="13" t="n"/>
      <c r="E242" s="13" t="n"/>
      <c r="F242" s="13" t="n"/>
      <c r="G242" s="13" t="n"/>
      <c r="H242" s="13" t="n"/>
      <c r="I242" s="13" t="n"/>
    </row>
    <row r="243">
      <c r="A243" s="13" t="n"/>
      <c r="B243" s="13" t="n"/>
      <c r="C243" s="13" t="n"/>
      <c r="D243" s="13" t="n"/>
      <c r="E243" s="13" t="n"/>
      <c r="F243" s="13" t="n"/>
      <c r="G243" s="13" t="n"/>
      <c r="H243" s="13" t="n"/>
      <c r="I243" s="13" t="n"/>
    </row>
    <row r="244">
      <c r="A244" s="13" t="n"/>
      <c r="B244" s="13" t="n"/>
      <c r="C244" s="13" t="n"/>
      <c r="D244" s="13" t="n"/>
      <c r="E244" s="13" t="n"/>
      <c r="F244" s="13" t="n"/>
      <c r="G244" s="13" t="n"/>
      <c r="H244" s="13" t="n"/>
      <c r="I244" s="13" t="n"/>
    </row>
    <row r="245">
      <c r="A245" s="13" t="n"/>
      <c r="B245" s="13" t="n"/>
      <c r="C245" s="13" t="n"/>
      <c r="D245" s="13" t="n"/>
      <c r="E245" s="13" t="n"/>
      <c r="F245" s="13" t="n"/>
      <c r="G245" s="13" t="n"/>
      <c r="H245" s="13" t="n"/>
      <c r="I245" s="13" t="n"/>
    </row>
    <row r="246">
      <c r="A246" s="13" t="n"/>
      <c r="B246" s="13" t="n"/>
      <c r="C246" s="13" t="n"/>
      <c r="D246" s="13" t="n"/>
      <c r="E246" s="13" t="n"/>
      <c r="F246" s="13" t="n"/>
      <c r="G246" s="13" t="n"/>
      <c r="H246" s="13" t="n"/>
      <c r="I246" s="13" t="n"/>
    </row>
    <row r="247">
      <c r="A247" s="13" t="n"/>
      <c r="B247" s="13" t="n"/>
      <c r="C247" s="13" t="n"/>
      <c r="D247" s="13" t="n"/>
      <c r="E247" s="13" t="n"/>
      <c r="F247" s="13" t="n"/>
      <c r="G247" s="13" t="n"/>
      <c r="H247" s="13" t="n"/>
      <c r="I247" s="13" t="n"/>
    </row>
    <row r="248">
      <c r="A248" s="13" t="n"/>
      <c r="B248" s="13" t="n"/>
      <c r="C248" s="13" t="n"/>
      <c r="D248" s="13" t="n"/>
      <c r="E248" s="13" t="n"/>
      <c r="F248" s="13" t="n"/>
      <c r="G248" s="13" t="n"/>
      <c r="H248" s="13" t="n"/>
      <c r="I248" s="13" t="n"/>
    </row>
    <row r="249">
      <c r="A249" s="13" t="n"/>
      <c r="B249" s="13" t="n"/>
      <c r="C249" s="13" t="n"/>
      <c r="D249" s="13" t="n"/>
      <c r="E249" s="13" t="n"/>
      <c r="F249" s="13" t="n"/>
      <c r="G249" s="13" t="n"/>
      <c r="H249" s="13" t="n"/>
      <c r="I249" s="13" t="n"/>
    </row>
    <row r="250">
      <c r="A250" s="13" t="n"/>
      <c r="B250" s="13" t="n"/>
      <c r="C250" s="13" t="n"/>
      <c r="D250" s="13" t="n"/>
      <c r="E250" s="13" t="n"/>
      <c r="F250" s="13" t="n"/>
      <c r="G250" s="13" t="n"/>
      <c r="H250" s="13" t="n"/>
      <c r="I250" s="13" t="n"/>
    </row>
    <row r="251">
      <c r="A251" s="13" t="n"/>
      <c r="B251" s="13" t="n"/>
      <c r="C251" s="13" t="n"/>
      <c r="D251" s="13" t="n"/>
      <c r="E251" s="13" t="n"/>
      <c r="F251" s="13" t="n"/>
      <c r="G251" s="13" t="n"/>
      <c r="H251" s="13" t="n"/>
      <c r="I251" s="13" t="n"/>
    </row>
    <row r="252">
      <c r="A252" s="13" t="n"/>
      <c r="B252" s="13" t="n"/>
      <c r="C252" s="13" t="n"/>
      <c r="D252" s="13" t="n"/>
      <c r="E252" s="13" t="n"/>
      <c r="F252" s="13" t="n"/>
      <c r="G252" s="13" t="n"/>
      <c r="H252" s="13" t="n"/>
      <c r="I252" s="13" t="n"/>
    </row>
    <row r="253">
      <c r="A253" s="13" t="n"/>
      <c r="B253" s="13" t="n"/>
      <c r="C253" s="13" t="n"/>
      <c r="D253" s="13" t="n"/>
      <c r="E253" s="13" t="n"/>
      <c r="F253" s="13" t="n"/>
      <c r="G253" s="13" t="n"/>
      <c r="H253" s="13" t="n"/>
      <c r="I253" s="13" t="n"/>
    </row>
    <row r="254">
      <c r="A254" s="13" t="n"/>
      <c r="B254" s="13" t="n"/>
      <c r="C254" s="13" t="n"/>
      <c r="D254" s="13" t="n"/>
      <c r="E254" s="13" t="n"/>
      <c r="F254" s="13" t="n"/>
      <c r="G254" s="13" t="n"/>
      <c r="H254" s="13" t="n"/>
      <c r="I254" s="13" t="n"/>
    </row>
    <row r="255">
      <c r="A255" s="13" t="n"/>
      <c r="B255" s="13" t="n"/>
      <c r="C255" s="13" t="n"/>
      <c r="D255" s="13" t="n"/>
      <c r="E255" s="13" t="n"/>
      <c r="F255" s="13" t="n"/>
      <c r="G255" s="13" t="n"/>
      <c r="H255" s="13" t="n"/>
      <c r="I255" s="13" t="n"/>
    </row>
    <row r="256">
      <c r="A256" s="13" t="n"/>
      <c r="B256" s="13" t="n"/>
      <c r="C256" s="13" t="n"/>
      <c r="D256" s="13" t="n"/>
      <c r="E256" s="13" t="n"/>
      <c r="F256" s="13" t="n"/>
      <c r="G256" s="13" t="n"/>
      <c r="H256" s="13" t="n"/>
      <c r="I256" s="13" t="n"/>
    </row>
    <row r="257">
      <c r="A257" s="13" t="n"/>
      <c r="B257" s="13" t="n"/>
      <c r="C257" s="13" t="n"/>
      <c r="D257" s="13" t="n"/>
      <c r="E257" s="13" t="n"/>
      <c r="F257" s="13" t="n"/>
      <c r="G257" s="13" t="n"/>
      <c r="H257" s="13" t="n"/>
      <c r="I257" s="13" t="n"/>
    </row>
    <row r="258">
      <c r="A258" s="13" t="n"/>
      <c r="B258" s="13" t="n"/>
      <c r="C258" s="13" t="n"/>
      <c r="D258" s="13" t="n"/>
      <c r="E258" s="13" t="n"/>
      <c r="F258" s="13" t="n"/>
      <c r="G258" s="13" t="n"/>
      <c r="H258" s="13" t="n"/>
      <c r="I258" s="13" t="n"/>
    </row>
    <row r="259">
      <c r="A259" s="13" t="n"/>
      <c r="B259" s="13" t="n"/>
      <c r="C259" s="13" t="n"/>
      <c r="D259" s="13" t="n"/>
      <c r="E259" s="13" t="n"/>
      <c r="F259" s="13" t="n"/>
      <c r="G259" s="13" t="n"/>
      <c r="H259" s="13" t="n"/>
      <c r="I259" s="13" t="n"/>
    </row>
    <row r="260">
      <c r="A260" s="13" t="n"/>
      <c r="B260" s="13" t="n"/>
      <c r="C260" s="13" t="n"/>
      <c r="D260" s="13" t="n"/>
      <c r="E260" s="13" t="n"/>
      <c r="F260" s="13" t="n"/>
      <c r="G260" s="13" t="n"/>
      <c r="H260" s="13" t="n"/>
      <c r="I260" s="13" t="n"/>
    </row>
    <row r="261">
      <c r="A261" s="13" t="n"/>
      <c r="B261" s="13" t="n"/>
      <c r="C261" s="13" t="n"/>
      <c r="D261" s="13" t="n"/>
      <c r="E261" s="13" t="n"/>
      <c r="F261" s="13" t="n"/>
      <c r="G261" s="13" t="n"/>
      <c r="H261" s="13" t="n"/>
      <c r="I261" s="13" t="n"/>
    </row>
    <row r="262">
      <c r="A262" s="13" t="n"/>
      <c r="B262" s="13" t="n"/>
      <c r="C262" s="13" t="n"/>
      <c r="D262" s="13" t="n"/>
      <c r="E262" s="13" t="n"/>
      <c r="F262" s="13" t="n"/>
      <c r="G262" s="13" t="n"/>
      <c r="H262" s="13" t="n"/>
      <c r="I262" s="13" t="n"/>
    </row>
    <row r="263">
      <c r="A263" s="13" t="n"/>
      <c r="B263" s="13" t="n"/>
      <c r="C263" s="13" t="n"/>
      <c r="D263" s="13" t="n"/>
      <c r="E263" s="13" t="n"/>
      <c r="F263" s="13" t="n"/>
      <c r="G263" s="13" t="n"/>
      <c r="H263" s="13" t="n"/>
      <c r="I263" s="13" t="n"/>
    </row>
    <row r="264">
      <c r="A264" s="13" t="n"/>
      <c r="B264" s="13" t="n"/>
      <c r="C264" s="13" t="n"/>
      <c r="D264" s="13" t="n"/>
      <c r="E264" s="13" t="n"/>
      <c r="F264" s="13" t="n"/>
      <c r="G264" s="13" t="n"/>
      <c r="H264" s="13" t="n"/>
      <c r="I264" s="13" t="n"/>
    </row>
    <row r="265">
      <c r="A265" s="13" t="n"/>
      <c r="B265" s="13" t="n"/>
      <c r="C265" s="13" t="n"/>
      <c r="D265" s="13" t="n"/>
      <c r="E265" s="13" t="n"/>
      <c r="F265" s="13" t="n"/>
      <c r="G265" s="13" t="n"/>
      <c r="H265" s="13" t="n"/>
      <c r="I265" s="13" t="n"/>
    </row>
    <row r="266">
      <c r="A266" s="13" t="n"/>
      <c r="B266" s="13" t="n"/>
      <c r="C266" s="13" t="n"/>
      <c r="D266" s="13" t="n"/>
      <c r="E266" s="13" t="n"/>
      <c r="F266" s="13" t="n"/>
      <c r="G266" s="13" t="n"/>
      <c r="H266" s="13" t="n"/>
      <c r="I266" s="13" t="n"/>
    </row>
    <row r="267">
      <c r="A267" s="13" t="n"/>
      <c r="B267" s="13" t="n"/>
      <c r="C267" s="13" t="n"/>
      <c r="D267" s="13" t="n"/>
      <c r="E267" s="13" t="n"/>
      <c r="F267" s="13" t="n"/>
      <c r="G267" s="13" t="n"/>
      <c r="H267" s="13" t="n"/>
      <c r="I267" s="13" t="n"/>
    </row>
    <row r="268">
      <c r="A268" s="13" t="n"/>
      <c r="B268" s="13" t="n"/>
      <c r="C268" s="13" t="n"/>
      <c r="D268" s="13" t="n"/>
      <c r="E268" s="13" t="n"/>
      <c r="F268" s="13" t="n"/>
      <c r="G268" s="13" t="n"/>
      <c r="H268" s="13" t="n"/>
      <c r="I268" s="13" t="n"/>
    </row>
    <row r="269">
      <c r="A269" s="13" t="n"/>
      <c r="B269" s="13" t="n"/>
      <c r="C269" s="13" t="n"/>
      <c r="D269" s="13" t="n"/>
      <c r="E269" s="13" t="n"/>
      <c r="F269" s="13" t="n"/>
      <c r="G269" s="13" t="n"/>
      <c r="H269" s="13" t="n"/>
      <c r="I269" s="13" t="n"/>
    </row>
    <row r="270">
      <c r="A270" s="13" t="n"/>
      <c r="B270" s="13" t="n"/>
      <c r="C270" s="13" t="n"/>
      <c r="D270" s="13" t="n"/>
      <c r="E270" s="13" t="n"/>
      <c r="F270" s="13" t="n"/>
      <c r="G270" s="13" t="n"/>
      <c r="H270" s="13" t="n"/>
      <c r="I270" s="13" t="n"/>
    </row>
    <row r="271">
      <c r="A271" s="13" t="n"/>
      <c r="B271" s="13" t="n"/>
      <c r="C271" s="13" t="n"/>
      <c r="D271" s="13" t="n"/>
      <c r="E271" s="13" t="n"/>
      <c r="F271" s="13" t="n"/>
      <c r="G271" s="13" t="n"/>
      <c r="H271" s="13" t="n"/>
      <c r="I271" s="13" t="n"/>
    </row>
    <row r="272">
      <c r="A272" s="13" t="n"/>
      <c r="B272" s="13" t="n"/>
      <c r="C272" s="13" t="n"/>
      <c r="D272" s="13" t="n"/>
      <c r="E272" s="13" t="n"/>
      <c r="F272" s="13" t="n"/>
      <c r="G272" s="13" t="n"/>
      <c r="H272" s="13" t="n"/>
      <c r="I272" s="13" t="n"/>
    </row>
    <row r="273">
      <c r="A273" s="13" t="n"/>
      <c r="B273" s="13" t="n"/>
      <c r="C273" s="13" t="n"/>
      <c r="D273" s="13" t="n"/>
      <c r="E273" s="13" t="n"/>
      <c r="F273" s="13" t="n"/>
      <c r="G273" s="13" t="n"/>
      <c r="H273" s="13" t="n"/>
      <c r="I273" s="13" t="n"/>
    </row>
    <row r="274">
      <c r="A274" s="13" t="n"/>
      <c r="B274" s="13" t="n"/>
      <c r="C274" s="13" t="n"/>
      <c r="D274" s="13" t="n"/>
      <c r="E274" s="13" t="n"/>
      <c r="F274" s="13" t="n"/>
      <c r="G274" s="13" t="n"/>
      <c r="H274" s="13" t="n"/>
      <c r="I274" s="13" t="n"/>
    </row>
    <row r="275">
      <c r="A275" s="13" t="n"/>
      <c r="B275" s="13" t="n"/>
      <c r="C275" s="13" t="n"/>
      <c r="D275" s="13" t="n"/>
      <c r="E275" s="13" t="n"/>
      <c r="F275" s="13" t="n"/>
      <c r="G275" s="13" t="n"/>
      <c r="H275" s="13" t="n"/>
      <c r="I275" s="13" t="n"/>
    </row>
    <row r="276">
      <c r="A276" s="13" t="n"/>
      <c r="B276" s="13" t="n"/>
      <c r="C276" s="13" t="n"/>
      <c r="D276" s="13" t="n"/>
      <c r="E276" s="13" t="n"/>
      <c r="F276" s="13" t="n"/>
      <c r="G276" s="13" t="n"/>
      <c r="H276" s="13" t="n"/>
      <c r="I276" s="13" t="n"/>
    </row>
    <row r="277">
      <c r="A277" s="13" t="n"/>
      <c r="B277" s="13" t="n"/>
      <c r="C277" s="13" t="n"/>
      <c r="D277" s="13" t="n"/>
      <c r="E277" s="13" t="n"/>
      <c r="F277" s="13" t="n"/>
      <c r="G277" s="13" t="n"/>
      <c r="H277" s="13" t="n"/>
      <c r="I277" s="13" t="n"/>
    </row>
    <row r="278">
      <c r="A278" s="13" t="n"/>
      <c r="B278" s="13" t="n"/>
      <c r="C278" s="13" t="n"/>
      <c r="D278" s="13" t="n"/>
      <c r="E278" s="13" t="n"/>
      <c r="F278" s="13" t="n"/>
      <c r="G278" s="13" t="n"/>
      <c r="H278" s="13" t="n"/>
      <c r="I278" s="13" t="n"/>
    </row>
    <row r="279">
      <c r="A279" s="13" t="n"/>
      <c r="B279" s="13" t="n"/>
      <c r="C279" s="13" t="n"/>
      <c r="D279" s="13" t="n"/>
      <c r="E279" s="13" t="n"/>
      <c r="F279" s="13" t="n"/>
      <c r="G279" s="13" t="n"/>
      <c r="H279" s="13" t="n"/>
      <c r="I279" s="13" t="n"/>
    </row>
    <row r="280">
      <c r="A280" s="13" t="n"/>
      <c r="B280" s="13" t="n"/>
      <c r="C280" s="13" t="n"/>
      <c r="D280" s="13" t="n"/>
      <c r="E280" s="13" t="n"/>
      <c r="F280" s="13" t="n"/>
      <c r="G280" s="13" t="n"/>
      <c r="H280" s="13" t="n"/>
      <c r="I280" s="13" t="n"/>
    </row>
    <row r="281">
      <c r="A281" s="13" t="n"/>
      <c r="B281" s="13" t="n"/>
      <c r="C281" s="13" t="n"/>
      <c r="D281" s="13" t="n"/>
      <c r="E281" s="13" t="n"/>
      <c r="F281" s="13" t="n"/>
      <c r="G281" s="13" t="n"/>
      <c r="H281" s="13" t="n"/>
      <c r="I281" s="13" t="n"/>
    </row>
  </sheetData>
  <dataValidations count="4">
    <dataValidation sqref="A2:A2000" showDropDown="0" showInputMessage="0" showErrorMessage="1" allowBlank="1" errorTitle="Valor no válido" error="Elige un valor de la lista (hoja catalogos)." type="list">
      <formula1>kb_minuta!$A$2:$A$2000</formula1>
    </dataValidation>
    <dataValidation sqref="B2:B2000" showDropDown="0" showInputMessage="0" showErrorMessage="1" allowBlank="1" errorTitle="Valor no válido" error="Elige un valor de la lista (hoja catalogos)." type="list">
      <formula1>catalogos!$J$2:$J$15</formula1>
    </dataValidation>
    <dataValidation sqref="F2:F2000" showDropDown="0" showInputMessage="0" showErrorMessage="1" allowBlank="1" errorTitle="Valor no válido" error="Elige un valor de la lista (hoja catalogos)." type="list">
      <formula1>catalogos!$K$2:$K$5</formula1>
    </dataValidation>
    <dataValidation sqref="G2:G2000" showDropDown="0" showInputMessage="0" showErrorMessage="1" allowBlank="1" errorTitle="Valor no válido" error="Elige un valor de la lista (hoja catalogos)." type="list">
      <formula1>catalogos!$L$2:$L$38</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2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14" customWidth="1" min="2" max="2"/>
    <col width="70" customWidth="1" min="3" max="3"/>
    <col width="20" customWidth="1" min="4" max="4"/>
    <col width="34" customWidth="1" min="5" max="5"/>
  </cols>
  <sheetData>
    <row r="1" ht="34" customHeight="1">
      <c r="A1" s="9" t="inlineStr">
        <is>
          <t>minuta_id</t>
        </is>
      </c>
      <c r="B1" s="9" t="inlineStr">
        <is>
          <t>codigo_evidencia</t>
        </is>
      </c>
      <c r="C1" s="9" t="inlineStr">
        <is>
          <t>descripcion</t>
        </is>
      </c>
      <c r="D1" s="9" t="inlineStr">
        <is>
          <t>archivo_o_pagina</t>
        </is>
      </c>
      <c r="E1" s="9" t="inlineStr">
        <is>
          <t>nota</t>
        </is>
      </c>
    </row>
    <row r="2">
      <c r="A2" s="10" t="inlineStr">
        <is>
          <t>MH-001</t>
        </is>
      </c>
      <c r="B2" s="10" t="inlineStr">
        <is>
          <t>MAPA</t>
        </is>
      </c>
      <c r="C2" s="10" t="inlineStr">
        <is>
          <t>Network Topology</t>
        </is>
      </c>
      <c r="D2" s="10" t="inlineStr">
        <is>
          <t>sicilia.pdf</t>
        </is>
      </c>
      <c r="E2" s="10" t="inlineStr"/>
    </row>
    <row r="3">
      <c r="A3" s="10" t="inlineStr">
        <is>
          <t>MH-002</t>
        </is>
      </c>
      <c r="B3" s="10" t="inlineStr">
        <is>
          <t>MAPA</t>
        </is>
      </c>
      <c r="C3" s="10" t="inlineStr">
        <is>
          <t>Topology Network (a implementar gabinete y energía)</t>
        </is>
      </c>
      <c r="D3" s="10" t="inlineStr">
        <is>
          <t>donoscar.pdf</t>
        </is>
      </c>
      <c r="E3" s="10" t="inlineStr"/>
    </row>
    <row r="4">
      <c r="A4" s="10" t="inlineStr">
        <is>
          <t>MH-003</t>
        </is>
      </c>
      <c r="B4" s="10" t="inlineStr">
        <is>
          <t>E1</t>
        </is>
      </c>
      <c r="C4" s="10" t="inlineStr">
        <is>
          <t>Velocidad de internet</t>
        </is>
      </c>
      <c r="D4" s="10" t="inlineStr">
        <is>
          <t>barrio.pdf</t>
        </is>
      </c>
      <c r="E4" s="10" t="inlineStr"/>
    </row>
    <row r="5">
      <c r="A5" s="10" t="inlineStr">
        <is>
          <t>MH-003</t>
        </is>
      </c>
      <c r="B5" s="10" t="inlineStr">
        <is>
          <t>E6</t>
        </is>
      </c>
      <c r="C5" s="10" t="inlineStr">
        <is>
          <t>Fotos de la red</t>
        </is>
      </c>
      <c r="D5" s="10" t="inlineStr">
        <is>
          <t>barrio.pdf</t>
        </is>
      </c>
      <c r="E5" s="10" t="inlineStr"/>
    </row>
    <row r="6">
      <c r="A6" s="10" t="inlineStr">
        <is>
          <t>MH-003</t>
        </is>
      </c>
      <c r="B6" s="10" t="inlineStr">
        <is>
          <t>MAPA</t>
        </is>
      </c>
      <c r="C6" s="10" t="inlineStr">
        <is>
          <t>Topology Network de equipos a implementar</t>
        </is>
      </c>
      <c r="D6" s="10" t="inlineStr">
        <is>
          <t>barrio.pdf</t>
        </is>
      </c>
      <c r="E6" s="10" t="inlineStr"/>
    </row>
    <row r="7">
      <c r="A7" s="10" t="inlineStr">
        <is>
          <t>MH-004</t>
        </is>
      </c>
      <c r="B7" s="10" t="inlineStr">
        <is>
          <t>E1</t>
        </is>
      </c>
      <c r="C7" s="10" t="inlineStr">
        <is>
          <t>Especificaciones de velocidad: descarga 91.50 Mbps, subida 92.49 Mbps</t>
        </is>
      </c>
      <c r="D7" s="10" t="inlineStr">
        <is>
          <t>rock.pdf</t>
        </is>
      </c>
      <c r="E7" s="10" t="inlineStr"/>
    </row>
    <row r="8">
      <c r="A8" s="10" t="inlineStr">
        <is>
          <t>MH-004</t>
        </is>
      </c>
      <c r="B8" s="10" t="inlineStr">
        <is>
          <t>E3</t>
        </is>
      </c>
      <c r="C8" s="10" t="inlineStr">
        <is>
          <t>Especificaciones del router principal: gateway 192.168.100.1</t>
        </is>
      </c>
      <c r="D8" s="10" t="inlineStr">
        <is>
          <t>rock.pdf</t>
        </is>
      </c>
      <c r="E8" s="10" t="inlineStr">
        <is>
          <t>Ocultar credenciales de la etiqueta</t>
        </is>
      </c>
    </row>
    <row r="9">
      <c r="A9" s="10" t="inlineStr">
        <is>
          <t>MH-004</t>
        </is>
      </c>
      <c r="B9" s="10" t="inlineStr">
        <is>
          <t>E5</t>
        </is>
      </c>
      <c r="C9" s="10" t="inlineStr">
        <is>
          <t>Especificaciones de impresoras: Caja (USB) y Cocina (CBX 89E, IP 192.168.100.20)</t>
        </is>
      </c>
      <c r="D9" s="10" t="inlineStr">
        <is>
          <t>rock.pdf</t>
        </is>
      </c>
      <c r="E9" s="10" t="inlineStr"/>
    </row>
    <row r="10">
      <c r="A10" s="10" t="inlineStr">
        <is>
          <t>MH-004</t>
        </is>
      </c>
      <c r="B10" s="10" t="inlineStr">
        <is>
          <t>E8</t>
        </is>
      </c>
      <c r="C10" s="10" t="inlineStr">
        <is>
          <t>Mapeo de red: 192.168.100.1 router, .13 PC caja, .20 impresora cocina, .22 y .50 repetidores</t>
        </is>
      </c>
      <c r="D10" s="10" t="inlineStr">
        <is>
          <t>rock.pdf</t>
        </is>
      </c>
      <c r="E10" s="10" t="inlineStr"/>
    </row>
    <row r="11">
      <c r="A11" s="10" t="inlineStr">
        <is>
          <t>MH-004</t>
        </is>
      </c>
      <c r="B11" s="10" t="inlineStr">
        <is>
          <t>E9</t>
        </is>
      </c>
      <c r="C11" s="10" t="inlineStr">
        <is>
          <t>Imágenes de zonas: salones del piso 2 y piso 3</t>
        </is>
      </c>
      <c r="D11" s="10" t="inlineStr">
        <is>
          <t>rock.pdf</t>
        </is>
      </c>
      <c r="E11" s="10" t="inlineStr"/>
    </row>
    <row r="12">
      <c r="A12" s="10" t="inlineStr">
        <is>
          <t>MH-004</t>
        </is>
      </c>
      <c r="B12" s="10" t="inlineStr">
        <is>
          <t>VIDEO</t>
        </is>
      </c>
      <c r="C12" s="10" t="inlineStr">
        <is>
          <t>CAJA Y ROUTER PRINCIPAL.mp4</t>
        </is>
      </c>
      <c r="D12" s="10" t="inlineStr"/>
      <c r="E12" s="10" t="inlineStr">
        <is>
          <t>Video externo</t>
        </is>
      </c>
    </row>
    <row r="13">
      <c r="A13" s="10" t="inlineStr">
        <is>
          <t>MH-004</t>
        </is>
      </c>
      <c r="B13" s="10" t="inlineStr">
        <is>
          <t>VIDEO</t>
        </is>
      </c>
      <c r="C13" s="10" t="inlineStr">
        <is>
          <t>REPETIDORES.mp4</t>
        </is>
      </c>
      <c r="D13" s="10" t="inlineStr"/>
      <c r="E13" s="10" t="inlineStr">
        <is>
          <t>Video externo</t>
        </is>
      </c>
    </row>
    <row r="14">
      <c r="A14" s="10" t="inlineStr">
        <is>
          <t>MH-004</t>
        </is>
      </c>
      <c r="B14" s="10" t="inlineStr">
        <is>
          <t>VIDEO</t>
        </is>
      </c>
      <c r="C14" s="10" t="inlineStr">
        <is>
          <t>SELFTEST.mp4</t>
        </is>
      </c>
      <c r="D14" s="10" t="inlineStr"/>
      <c r="E14" s="10" t="inlineStr">
        <is>
          <t>Video externo</t>
        </is>
      </c>
    </row>
    <row r="15">
      <c r="A15" s="10" t="inlineStr">
        <is>
          <t>MH-005</t>
        </is>
      </c>
      <c r="B15" s="10" t="inlineStr">
        <is>
          <t>E1</t>
        </is>
      </c>
      <c r="C15" s="10" t="inlineStr">
        <is>
          <t>Speedtest antes y después del cambio de switch (94.01 / 94.43 Mbps)</t>
        </is>
      </c>
      <c r="D15" s="10" t="inlineStr"/>
      <c r="E15" s="10" t="inlineStr"/>
    </row>
    <row r="16">
      <c r="A16" s="10" t="inlineStr">
        <is>
          <t>MH-005</t>
        </is>
      </c>
      <c r="B16" s="10" t="inlineStr">
        <is>
          <t>E2</t>
        </is>
      </c>
      <c r="C16" s="10" t="inlineStr">
        <is>
          <t>Router antes y después de conectarlo</t>
        </is>
      </c>
      <c r="D16" s="10" t="inlineStr"/>
      <c r="E16" s="10" t="inlineStr"/>
    </row>
    <row r="17">
      <c r="A17" s="10" t="inlineStr">
        <is>
          <t>MH-006</t>
        </is>
      </c>
      <c r="B17" s="10" t="inlineStr">
        <is>
          <t>E1</t>
        </is>
      </c>
      <c r="C17" s="10" t="inlineStr">
        <is>
          <t>Speedtest de PC caja 1, 2 y 3 (~92–93 Mbps)</t>
        </is>
      </c>
      <c r="D17" s="10" t="inlineStr"/>
      <c r="E17" s="10" t="inlineStr"/>
    </row>
    <row r="18">
      <c r="A18" s="10" t="inlineStr">
        <is>
          <t>MH-006</t>
        </is>
      </c>
      <c r="B18" s="10" t="inlineStr">
        <is>
          <t>E5</t>
        </is>
      </c>
      <c r="C18" s="10" t="inlineStr">
        <is>
          <t>Pruebas de impresión: barra 2, caja 3, cocina, caja 1, caja 2 y barra 1</t>
        </is>
      </c>
      <c r="D18" s="10" t="inlineStr"/>
      <c r="E18" s="10" t="inlineStr"/>
    </row>
    <row r="19">
      <c r="A19" s="10" t="inlineStr">
        <is>
          <t>MH-006</t>
        </is>
      </c>
      <c r="B19" s="10" t="inlineStr">
        <is>
          <t>E6</t>
        </is>
      </c>
      <c r="C19" s="10" t="inlineStr">
        <is>
          <t>Cables rotulados en el router</t>
        </is>
      </c>
      <c r="D19" s="10" t="inlineStr"/>
      <c r="E19" s="10" t="inlineStr"/>
    </row>
    <row r="20">
      <c r="A20" s="10" t="inlineStr">
        <is>
          <t>MH-006</t>
        </is>
      </c>
      <c r="B20" s="10" t="inlineStr">
        <is>
          <t>OTRA</t>
        </is>
      </c>
      <c r="C20" s="10" t="inlineStr">
        <is>
          <t>Redes WiFi de las tablets</t>
        </is>
      </c>
      <c r="D20" s="10" t="inlineStr"/>
      <c r="E20" s="10" t="inlineStr"/>
    </row>
    <row r="21">
      <c r="A21" s="10" t="inlineStr">
        <is>
          <t>MH-007</t>
        </is>
      </c>
      <c r="B21" s="10" t="inlineStr">
        <is>
          <t>MAPA</t>
        </is>
      </c>
      <c r="C21" s="10" t="inlineStr">
        <is>
          <t>Topology Network</t>
        </is>
      </c>
      <c r="D21" s="10" t="inlineStr"/>
      <c r="E21" s="10" t="inlineStr"/>
    </row>
    <row r="22">
      <c r="A22" s="10" t="inlineStr">
        <is>
          <t>MH-008</t>
        </is>
      </c>
      <c r="B22" s="10" t="inlineStr">
        <is>
          <t>E8</t>
        </is>
      </c>
      <c r="C22" s="10" t="inlineStr">
        <is>
          <t>Mapeo de red: Lagar, Recepción, Bodegón</t>
        </is>
      </c>
      <c r="D22" s="10" t="inlineStr"/>
      <c r="E22" s="10" t="inlineStr"/>
    </row>
    <row r="23">
      <c r="A23" s="10" t="inlineStr">
        <is>
          <t>MH-008</t>
        </is>
      </c>
      <c r="B23" s="10" t="inlineStr">
        <is>
          <t>MAPA</t>
        </is>
      </c>
      <c r="C23" s="10" t="inlineStr">
        <is>
          <t>Topology Network</t>
        </is>
      </c>
      <c r="D23" s="10" t="inlineStr"/>
      <c r="E23" s="10" t="inlineStr"/>
    </row>
    <row r="24">
      <c r="A24" s="10" t="inlineStr">
        <is>
          <t>MH-009</t>
        </is>
      </c>
      <c r="B24" s="10" t="inlineStr">
        <is>
          <t>E9</t>
        </is>
      </c>
      <c r="C24" s="10" t="inlineStr">
        <is>
          <t>Zonas: salón 01, salón 02, caja, cocina-brasas</t>
        </is>
      </c>
      <c r="D24" s="10" t="inlineStr"/>
      <c r="E24" s="10" t="inlineStr"/>
    </row>
    <row r="25">
      <c r="A25" s="10" t="inlineStr">
        <is>
          <t>MH-009</t>
        </is>
      </c>
      <c r="B25" s="10" t="inlineStr">
        <is>
          <t>VIDEO</t>
        </is>
      </c>
      <c r="C25" s="10" t="inlineStr">
        <is>
          <t>Video del local</t>
        </is>
      </c>
      <c r="D25" s="10" t="inlineStr"/>
      <c r="E25" s="10" t="inlineStr"/>
    </row>
    <row r="26">
      <c r="A26" s="10" t="inlineStr">
        <is>
          <t>MH-009</t>
        </is>
      </c>
      <c r="B26" s="10" t="inlineStr">
        <is>
          <t>E1</t>
        </is>
      </c>
      <c r="C26" s="10" t="inlineStr">
        <is>
          <t>Speedtest 493.11 Mbps</t>
        </is>
      </c>
      <c r="D26" s="10" t="inlineStr"/>
      <c r="E26" s="10" t="inlineStr"/>
    </row>
    <row r="27">
      <c r="A27" s="10" t="inlineStr">
        <is>
          <t>MH-009</t>
        </is>
      </c>
      <c r="B27" s="10" t="inlineStr">
        <is>
          <t>E8</t>
        </is>
      </c>
      <c r="C27" s="10" t="inlineStr">
        <is>
          <t>IP Scanner</t>
        </is>
      </c>
      <c r="D27" s="10" t="inlineStr"/>
      <c r="E27" s="10" t="inlineStr"/>
    </row>
    <row r="28">
      <c r="A28" s="10" t="inlineStr">
        <is>
          <t>MH-009</t>
        </is>
      </c>
      <c r="B28" s="10" t="inlineStr">
        <is>
          <t>E5</t>
        </is>
      </c>
      <c r="C28" s="10" t="inlineStr">
        <is>
          <t>Impresoras de caja</t>
        </is>
      </c>
      <c r="D28" s="10" t="inlineStr"/>
      <c r="E28" s="10" t="inlineStr"/>
    </row>
    <row r="29">
      <c r="A29" s="10" t="inlineStr">
        <is>
          <t>MH-010</t>
        </is>
      </c>
      <c r="B29" s="10" t="inlineStr">
        <is>
          <t>E9</t>
        </is>
      </c>
      <c r="C29" s="10" t="inlineStr">
        <is>
          <t>Zonas: salón 01, caja</t>
        </is>
      </c>
      <c r="D29" s="10" t="inlineStr"/>
      <c r="E29" s="10" t="inlineStr"/>
    </row>
    <row r="30">
      <c r="A30" s="10" t="inlineStr">
        <is>
          <t>MH-010</t>
        </is>
      </c>
      <c r="B30" s="10" t="inlineStr">
        <is>
          <t>VIDEO</t>
        </is>
      </c>
      <c r="C30" s="10" t="inlineStr">
        <is>
          <t>Video del local</t>
        </is>
      </c>
      <c r="D30" s="10" t="inlineStr"/>
      <c r="E30" s="10" t="inlineStr"/>
    </row>
    <row r="31">
      <c r="A31" s="10" t="inlineStr">
        <is>
          <t>MH-010</t>
        </is>
      </c>
      <c r="B31" s="10" t="inlineStr">
        <is>
          <t>E1</t>
        </is>
      </c>
      <c r="C31" s="10" t="inlineStr">
        <is>
          <t>Speedtest 93.17 Mbps</t>
        </is>
      </c>
      <c r="D31" s="10" t="inlineStr"/>
      <c r="E31" s="10" t="inlineStr"/>
    </row>
    <row r="32">
      <c r="A32" s="10" t="inlineStr">
        <is>
          <t>MH-010</t>
        </is>
      </c>
      <c r="B32" s="10" t="inlineStr">
        <is>
          <t>E8</t>
        </is>
      </c>
      <c r="C32" s="10" t="inlineStr">
        <is>
          <t>IP Scanner</t>
        </is>
      </c>
      <c r="D32" s="10" t="inlineStr"/>
      <c r="E32" s="10" t="inlineStr"/>
    </row>
    <row r="33">
      <c r="A33" s="10" t="inlineStr">
        <is>
          <t>MH-010</t>
        </is>
      </c>
      <c r="B33" s="10" t="inlineStr">
        <is>
          <t>E5</t>
        </is>
      </c>
      <c r="C33" s="10" t="inlineStr">
        <is>
          <t>Impresoras caja, brasas y cocina</t>
        </is>
      </c>
      <c r="D33" s="10" t="inlineStr"/>
      <c r="E33" s="10" t="inlineStr"/>
    </row>
    <row r="34">
      <c r="A34" s="10" t="inlineStr">
        <is>
          <t>MH-011</t>
        </is>
      </c>
      <c r="B34" s="10" t="inlineStr">
        <is>
          <t>E9</t>
        </is>
      </c>
      <c r="C34" s="10" t="inlineStr">
        <is>
          <t>Zonas: salón piso 1 y 2, caja</t>
        </is>
      </c>
      <c r="D34" s="10" t="inlineStr"/>
      <c r="E34" s="10" t="inlineStr"/>
    </row>
    <row r="35">
      <c r="A35" s="10" t="inlineStr">
        <is>
          <t>MH-011</t>
        </is>
      </c>
      <c r="B35" s="10" t="inlineStr">
        <is>
          <t>E1</t>
        </is>
      </c>
      <c r="C35" s="10" t="inlineStr">
        <is>
          <t>Speedtest 480.02 / 488.33 Mbps</t>
        </is>
      </c>
      <c r="D35" s="10" t="inlineStr"/>
      <c r="E35" s="10" t="inlineStr"/>
    </row>
    <row r="36">
      <c r="A36" s="10" t="inlineStr">
        <is>
          <t>MH-011</t>
        </is>
      </c>
      <c r="B36" s="10" t="inlineStr">
        <is>
          <t>E5</t>
        </is>
      </c>
      <c r="C36" s="10" t="inlineStr">
        <is>
          <t>Impresoras caja, brasas y cocina</t>
        </is>
      </c>
      <c r="D36" s="10" t="inlineStr"/>
      <c r="E36" s="10" t="inlineStr"/>
    </row>
    <row r="37">
      <c r="A37" s="10" t="inlineStr">
        <is>
          <t>MH-011</t>
        </is>
      </c>
      <c r="B37" s="10" t="inlineStr">
        <is>
          <t>E2</t>
        </is>
      </c>
      <c r="C37" s="10" t="inlineStr">
        <is>
          <t>Router principal y repetidor</t>
        </is>
      </c>
      <c r="D37" s="10" t="inlineStr"/>
      <c r="E37" s="10" t="inlineStr"/>
    </row>
    <row r="38">
      <c r="A38" s="10" t="inlineStr">
        <is>
          <t>MH-012</t>
        </is>
      </c>
      <c r="B38" s="10" t="inlineStr">
        <is>
          <t>E1</t>
        </is>
      </c>
      <c r="C38" s="10" t="inlineStr">
        <is>
          <t>Speedtest 88.94 / 92.64 Mbps</t>
        </is>
      </c>
      <c r="D38" s="10" t="inlineStr"/>
      <c r="E38" s="10" t="inlineStr"/>
    </row>
    <row r="39">
      <c r="A39" s="10" t="inlineStr">
        <is>
          <t>MH-012</t>
        </is>
      </c>
      <c r="B39" s="10" t="inlineStr">
        <is>
          <t>E9</t>
        </is>
      </c>
      <c r="C39" s="10" t="inlineStr">
        <is>
          <t>Zonas: salones, caja, barra, cocina</t>
        </is>
      </c>
      <c r="D39" s="10" t="inlineStr"/>
      <c r="E39" s="10" t="inlineStr"/>
    </row>
    <row r="40">
      <c r="A40" s="10" t="inlineStr">
        <is>
          <t>MH-012</t>
        </is>
      </c>
      <c r="B40" s="10" t="inlineStr">
        <is>
          <t>E5</t>
        </is>
      </c>
      <c r="C40" s="10" t="inlineStr">
        <is>
          <t>Impresoras caja y cocina (selftest)</t>
        </is>
      </c>
      <c r="D40" s="10" t="inlineStr"/>
      <c r="E40" s="10" t="inlineStr"/>
    </row>
    <row r="41">
      <c r="A41" s="10" t="inlineStr">
        <is>
          <t>MH-012</t>
        </is>
      </c>
      <c r="B41" s="10" t="inlineStr">
        <is>
          <t>E8</t>
        </is>
      </c>
      <c r="C41" s="10" t="inlineStr">
        <is>
          <t>IP Scanner</t>
        </is>
      </c>
      <c r="D41" s="10" t="inlineStr"/>
      <c r="E41" s="10" t="inlineStr"/>
    </row>
    <row r="42">
      <c r="A42" s="10" t="inlineStr">
        <is>
          <t>MH-012</t>
        </is>
      </c>
      <c r="B42" s="10" t="inlineStr">
        <is>
          <t>E2</t>
        </is>
      </c>
      <c r="C42" s="10" t="inlineStr">
        <is>
          <t>Router principal en caja</t>
        </is>
      </c>
      <c r="D42" s="10" t="inlineStr"/>
      <c r="E42" s="10" t="inlineStr"/>
    </row>
    <row r="43">
      <c r="A43" s="10" t="inlineStr">
        <is>
          <t>MH-013</t>
        </is>
      </c>
      <c r="B43" s="10" t="inlineStr">
        <is>
          <t>E9</t>
        </is>
      </c>
      <c r="C43" s="10" t="inlineStr">
        <is>
          <t>Zonas: salones piso 1–3, barra piso 2</t>
        </is>
      </c>
      <c r="D43" s="10" t="inlineStr"/>
      <c r="E43" s="10" t="inlineStr"/>
    </row>
    <row r="44">
      <c r="A44" s="10" t="inlineStr">
        <is>
          <t>MH-013</t>
        </is>
      </c>
      <c r="B44" s="10" t="inlineStr">
        <is>
          <t>E1</t>
        </is>
      </c>
      <c r="C44" s="10" t="inlineStr">
        <is>
          <t>Speedtest 93.91 / 94.27 Mbps</t>
        </is>
      </c>
      <c r="D44" s="10" t="inlineStr"/>
      <c r="E44" s="10" t="inlineStr"/>
    </row>
    <row r="45">
      <c r="A45" s="10" t="inlineStr">
        <is>
          <t>MH-013</t>
        </is>
      </c>
      <c r="B45" s="10" t="inlineStr">
        <is>
          <t>E8</t>
        </is>
      </c>
      <c r="C45" s="10" t="inlineStr">
        <is>
          <t>IP Scanner</t>
        </is>
      </c>
      <c r="D45" s="10" t="inlineStr"/>
      <c r="E45" s="10" t="inlineStr"/>
    </row>
    <row r="46">
      <c r="A46" s="10" t="inlineStr">
        <is>
          <t>MH-013</t>
        </is>
      </c>
      <c r="B46" s="10" t="inlineStr">
        <is>
          <t>E2</t>
        </is>
      </c>
      <c r="C46" s="10" t="inlineStr">
        <is>
          <t>Router principal y repetidores</t>
        </is>
      </c>
      <c r="D46" s="10" t="inlineStr"/>
      <c r="E46" s="10" t="inlineStr"/>
    </row>
    <row r="47">
      <c r="A47" s="10" t="inlineStr">
        <is>
          <t>MH-013</t>
        </is>
      </c>
      <c r="B47" s="10" t="inlineStr">
        <is>
          <t>E5</t>
        </is>
      </c>
      <c r="C47" s="10" t="inlineStr">
        <is>
          <t>Impresoras caja y cocina-brasas</t>
        </is>
      </c>
      <c r="D47" s="10" t="inlineStr"/>
      <c r="E47" s="10" t="inlineStr"/>
    </row>
    <row r="48">
      <c r="A48" s="10" t="inlineStr">
        <is>
          <t>MH-014</t>
        </is>
      </c>
      <c r="B48" s="10" t="inlineStr">
        <is>
          <t>E9</t>
        </is>
      </c>
      <c r="C48" s="10" t="inlineStr">
        <is>
          <t>Zonas: salón 01</t>
        </is>
      </c>
      <c r="D48" s="10" t="inlineStr"/>
      <c r="E48" s="10" t="inlineStr"/>
    </row>
    <row r="49">
      <c r="A49" s="10" t="inlineStr">
        <is>
          <t>MH-014</t>
        </is>
      </c>
      <c r="B49" s="10" t="inlineStr">
        <is>
          <t>E1</t>
        </is>
      </c>
      <c r="C49" s="10" t="inlineStr">
        <is>
          <t>Speedtest 400.19 Mbps</t>
        </is>
      </c>
      <c r="D49" s="10" t="inlineStr"/>
      <c r="E49" s="10" t="inlineStr"/>
    </row>
    <row r="50">
      <c r="A50" s="10" t="inlineStr">
        <is>
          <t>MH-014</t>
        </is>
      </c>
      <c r="B50" s="10" t="inlineStr">
        <is>
          <t>E8</t>
        </is>
      </c>
      <c r="C50" s="10" t="inlineStr">
        <is>
          <t>IP Scanner</t>
        </is>
      </c>
      <c r="D50" s="10" t="inlineStr"/>
      <c r="E50" s="10" t="inlineStr"/>
    </row>
    <row r="51">
      <c r="A51" s="10" t="inlineStr">
        <is>
          <t>MH-014</t>
        </is>
      </c>
      <c r="B51" s="10" t="inlineStr">
        <is>
          <t>E5</t>
        </is>
      </c>
      <c r="C51" s="10" t="inlineStr">
        <is>
          <t>Impresoras caja (USB) y cocina-brasas</t>
        </is>
      </c>
      <c r="D51" s="10" t="inlineStr"/>
      <c r="E51" s="10" t="inlineStr"/>
    </row>
    <row r="52">
      <c r="A52" s="10" t="inlineStr">
        <is>
          <t>MH-014</t>
        </is>
      </c>
      <c r="B52" s="10" t="inlineStr">
        <is>
          <t>E2</t>
        </is>
      </c>
      <c r="C52" s="10" t="inlineStr">
        <is>
          <t>Router sin puertos libres</t>
        </is>
      </c>
      <c r="D52" s="10" t="inlineStr"/>
      <c r="E52" s="10" t="inlineStr"/>
    </row>
    <row r="53">
      <c r="A53" s="10" t="inlineStr">
        <is>
          <t>MH-015</t>
        </is>
      </c>
      <c r="B53" s="10" t="inlineStr">
        <is>
          <t>E9</t>
        </is>
      </c>
      <c r="C53" s="10" t="inlineStr">
        <is>
          <t>Zonas: salones 01 y 02, barra piso 2, caja</t>
        </is>
      </c>
      <c r="D53" s="10" t="inlineStr"/>
      <c r="E53" s="10" t="inlineStr"/>
    </row>
    <row r="54">
      <c r="A54" s="10" t="inlineStr">
        <is>
          <t>MH-015</t>
        </is>
      </c>
      <c r="B54" s="10" t="inlineStr">
        <is>
          <t>E1</t>
        </is>
      </c>
      <c r="C54" s="10" t="inlineStr">
        <is>
          <t>Speedtest 492.71 / 404.81 Mbps</t>
        </is>
      </c>
      <c r="D54" s="10" t="inlineStr"/>
      <c r="E54" s="10" t="inlineStr"/>
    </row>
    <row r="55">
      <c r="A55" s="10" t="inlineStr">
        <is>
          <t>MH-015</t>
        </is>
      </c>
      <c r="B55" s="10" t="inlineStr">
        <is>
          <t>E4</t>
        </is>
      </c>
      <c r="C55" s="10" t="inlineStr">
        <is>
          <t>ipconfig de la PC (192.168.18.20)</t>
        </is>
      </c>
      <c r="D55" s="10" t="inlineStr"/>
      <c r="E55" s="10" t="inlineStr"/>
    </row>
    <row r="56">
      <c r="A56" s="10" t="inlineStr">
        <is>
          <t>MH-015</t>
        </is>
      </c>
      <c r="B56" s="10" t="inlineStr">
        <is>
          <t>E8</t>
        </is>
      </c>
      <c r="C56" s="10" t="inlineStr">
        <is>
          <t>IP Scanner</t>
        </is>
      </c>
      <c r="D56" s="10" t="inlineStr"/>
      <c r="E56" s="10" t="inlineStr"/>
    </row>
    <row r="57">
      <c r="A57" s="10" t="inlineStr">
        <is>
          <t>MH-015</t>
        </is>
      </c>
      <c r="B57" s="10" t="inlineStr">
        <is>
          <t>E5</t>
        </is>
      </c>
      <c r="C57" s="10" t="inlineStr">
        <is>
          <t>Impresoras caja, brasas y cocina</t>
        </is>
      </c>
      <c r="D57" s="10" t="inlineStr"/>
      <c r="E57" s="10" t="inlineStr"/>
    </row>
    <row r="58">
      <c r="A58" s="10" t="inlineStr">
        <is>
          <t>MH-015</t>
        </is>
      </c>
      <c r="B58" s="10" t="inlineStr">
        <is>
          <t>E2</t>
        </is>
      </c>
      <c r="C58" s="10" t="inlineStr">
        <is>
          <t>Router principal y repetidor</t>
        </is>
      </c>
      <c r="D58" s="10" t="inlineStr"/>
      <c r="E58" s="10" t="inlineStr"/>
    </row>
    <row r="59">
      <c r="A59" s="10" t="inlineStr">
        <is>
          <t>MH-016</t>
        </is>
      </c>
      <c r="B59" s="10" t="inlineStr">
        <is>
          <t>E1</t>
        </is>
      </c>
      <c r="C59" s="10" t="inlineStr">
        <is>
          <t>Speedtest 155.54 / 2.52 Mbps</t>
        </is>
      </c>
      <c r="D59" s="10" t="inlineStr"/>
      <c r="E59" s="10" t="inlineStr">
        <is>
          <t>QR de WiFi: ver hoja kb_minuta_credencial</t>
        </is>
      </c>
    </row>
    <row r="60">
      <c r="A60" s="10" t="inlineStr">
        <is>
          <t>MH-016</t>
        </is>
      </c>
      <c r="B60" s="10" t="inlineStr">
        <is>
          <t>E5</t>
        </is>
      </c>
      <c r="C60" s="10" t="inlineStr">
        <is>
          <t>Impresora 3nStar y su etiqueta</t>
        </is>
      </c>
      <c r="D60" s="10" t="inlineStr"/>
      <c r="E60" s="10" t="inlineStr"/>
    </row>
    <row r="61">
      <c r="A61" s="10" t="inlineStr">
        <is>
          <t>MH-016</t>
        </is>
      </c>
      <c r="B61" s="10" t="inlineStr">
        <is>
          <t>E9</t>
        </is>
      </c>
      <c r="C61" s="10" t="inlineStr">
        <is>
          <t>Barra y vista general</t>
        </is>
      </c>
      <c r="D61" s="10" t="inlineStr"/>
      <c r="E61" s="10" t="inlineStr"/>
    </row>
    <row r="62">
      <c r="A62" s="10" t="inlineStr">
        <is>
          <t>MH-016</t>
        </is>
      </c>
      <c r="B62" s="10" t="inlineStr">
        <is>
          <t>OTRA</t>
        </is>
      </c>
      <c r="C62" s="10" t="inlineStr">
        <is>
          <t>Datos de la tablet</t>
        </is>
      </c>
      <c r="D62" s="10" t="inlineStr"/>
      <c r="E62" s="10" t="inlineStr"/>
    </row>
    <row r="63">
      <c r="A63" s="10" t="inlineStr">
        <is>
          <t>MH-017</t>
        </is>
      </c>
      <c r="B63" s="10" t="inlineStr">
        <is>
          <t>E1</t>
        </is>
      </c>
      <c r="C63" s="10" t="inlineStr">
        <is>
          <t>Speedtest 89.44 / 89.61 Mbps</t>
        </is>
      </c>
      <c r="D63" s="10" t="inlineStr"/>
      <c r="E63" s="10" t="inlineStr">
        <is>
          <t>QR de WiFi: ver hoja kb_minuta_credencial</t>
        </is>
      </c>
    </row>
    <row r="64">
      <c r="A64" s="10" t="inlineStr">
        <is>
          <t>MH-017</t>
        </is>
      </c>
      <c r="B64" s="10" t="inlineStr">
        <is>
          <t>E5</t>
        </is>
      </c>
      <c r="C64" s="10" t="inlineStr">
        <is>
          <t>Selftest y etiqueta de la impresora 3nStar</t>
        </is>
      </c>
      <c r="D64" s="10" t="inlineStr"/>
      <c r="E64" s="10" t="inlineStr"/>
    </row>
    <row r="65">
      <c r="A65" s="10" t="inlineStr">
        <is>
          <t>MH-017</t>
        </is>
      </c>
      <c r="B65" s="10" t="inlineStr">
        <is>
          <t>E9</t>
        </is>
      </c>
      <c r="C65" s="10" t="inlineStr">
        <is>
          <t>Barra principal, salón, terraza, frente del local</t>
        </is>
      </c>
      <c r="D65" s="10" t="inlineStr"/>
      <c r="E65" s="10" t="inlineStr"/>
    </row>
    <row r="66">
      <c r="A66" s="10" t="inlineStr">
        <is>
          <t>MH-017</t>
        </is>
      </c>
      <c r="B66" s="10" t="inlineStr">
        <is>
          <t>OTRA</t>
        </is>
      </c>
      <c r="C66" s="10" t="inlineStr">
        <is>
          <t>Datos de la tablet</t>
        </is>
      </c>
      <c r="D66" s="10" t="inlineStr"/>
      <c r="E66" s="10" t="inlineStr"/>
    </row>
    <row r="67">
      <c r="A67" s="10" t="inlineStr">
        <is>
          <t>MH-018</t>
        </is>
      </c>
      <c r="B67" s="10" t="inlineStr">
        <is>
          <t>E1</t>
        </is>
      </c>
      <c r="C67" s="10" t="inlineStr">
        <is>
          <t>Speedtest 233.24 / 55.05 Mbps y prueba por WiFi móvil</t>
        </is>
      </c>
      <c r="D67" s="10" t="inlineStr"/>
      <c r="E67" s="10" t="inlineStr">
        <is>
          <t>QR de WiFi: ver hoja kb_minuta_credencial</t>
        </is>
      </c>
    </row>
    <row r="68">
      <c r="A68" s="10" t="inlineStr">
        <is>
          <t>MH-018</t>
        </is>
      </c>
      <c r="B68" s="10" t="inlineStr">
        <is>
          <t>E5</t>
        </is>
      </c>
      <c r="C68" s="10" t="inlineStr">
        <is>
          <t>Impresora 3nStar y su etiqueta</t>
        </is>
      </c>
      <c r="D68" s="10" t="inlineStr"/>
      <c r="E68" s="10" t="inlineStr"/>
    </row>
    <row r="69">
      <c r="A69" s="10" t="inlineStr">
        <is>
          <t>MH-018</t>
        </is>
      </c>
      <c r="B69" s="10" t="inlineStr">
        <is>
          <t>E9</t>
        </is>
      </c>
      <c r="C69" s="10" t="inlineStr">
        <is>
          <t>Barra</t>
        </is>
      </c>
      <c r="D69" s="10" t="inlineStr"/>
      <c r="E69" s="10" t="inlineStr"/>
    </row>
    <row r="70">
      <c r="A70" s="10" t="inlineStr">
        <is>
          <t>MH-018</t>
        </is>
      </c>
      <c r="B70" s="10" t="inlineStr">
        <is>
          <t>OTRA</t>
        </is>
      </c>
      <c r="C70" s="10" t="inlineStr">
        <is>
          <t>Datos de la tablet</t>
        </is>
      </c>
      <c r="D70" s="10" t="inlineStr"/>
      <c r="E70" s="10" t="inlineStr"/>
    </row>
    <row r="71">
      <c r="A71" s="10" t="inlineStr">
        <is>
          <t>MH-012</t>
        </is>
      </c>
      <c r="B71" s="10" t="inlineStr">
        <is>
          <t>OTRA</t>
        </is>
      </c>
      <c r="C71" s="10" t="inlineStr">
        <is>
          <t>Captura de AnyDesk</t>
        </is>
      </c>
      <c r="D71" s="10" t="inlineStr"/>
      <c r="E71" s="10" t="inlineStr">
        <is>
          <t>ID de AnyDesk: ver hoja kb_minuta_credencial</t>
        </is>
      </c>
    </row>
    <row r="72">
      <c r="A72" s="10" t="inlineStr">
        <is>
          <t>MH-019</t>
        </is>
      </c>
      <c r="B72" s="10" t="inlineStr">
        <is>
          <t>E1</t>
        </is>
      </c>
      <c r="C72" s="10" t="inlineStr">
        <is>
          <t>Speedtest 322.45 Mbps</t>
        </is>
      </c>
      <c r="D72" s="10" t="inlineStr"/>
      <c r="E72" s="10" t="inlineStr"/>
    </row>
    <row r="73">
      <c r="A73" s="10" t="inlineStr">
        <is>
          <t>MH-019</t>
        </is>
      </c>
      <c r="B73" s="10" t="inlineStr">
        <is>
          <t>E2</t>
        </is>
      </c>
      <c r="C73" s="10" t="inlineStr">
        <is>
          <t>Router principal</t>
        </is>
      </c>
      <c r="D73" s="10" t="inlineStr"/>
      <c r="E73" s="10" t="inlineStr"/>
    </row>
    <row r="74">
      <c r="A74" s="10" t="inlineStr">
        <is>
          <t>MH-019</t>
        </is>
      </c>
      <c r="B74" s="10" t="inlineStr">
        <is>
          <t>E9</t>
        </is>
      </c>
      <c r="C74" s="10" t="inlineStr">
        <is>
          <t>Zonas y ubicación de la impresora</t>
        </is>
      </c>
      <c r="D74" s="10" t="inlineStr"/>
      <c r="E74" s="10" t="inlineStr"/>
    </row>
    <row r="75">
      <c r="A75" s="10" t="inlineStr">
        <is>
          <t>MH-020</t>
        </is>
      </c>
      <c r="B75" s="10" t="inlineStr">
        <is>
          <t>VIDEO</t>
        </is>
      </c>
      <c r="C75" s="10" t="inlineStr">
        <is>
          <t>Ubicación de router y switch principal; piso 1; terraza piso 2</t>
        </is>
      </c>
      <c r="D75" s="10" t="inlineStr"/>
      <c r="E75" s="10" t="inlineStr"/>
    </row>
    <row r="76">
      <c r="A76" s="10" t="inlineStr">
        <is>
          <t>MH-020</t>
        </is>
      </c>
      <c r="B76" s="10" t="inlineStr">
        <is>
          <t>E5</t>
        </is>
      </c>
      <c r="C76" s="10" t="inlineStr">
        <is>
          <t>Impresoras caja, cocina, bebidas, barra piso 2</t>
        </is>
      </c>
      <c r="D76" s="10" t="inlineStr"/>
      <c r="E76" s="10" t="inlineStr"/>
    </row>
    <row r="77">
      <c r="A77" s="10" t="inlineStr">
        <is>
          <t>MH-021</t>
        </is>
      </c>
      <c r="B77" s="10" t="inlineStr">
        <is>
          <t>VIDEO</t>
        </is>
      </c>
      <c r="C77" s="10" t="inlineStr">
        <is>
          <t>Ubicación de equipos, zonas y lugares de preparación (2 videos)</t>
        </is>
      </c>
      <c r="D77" s="10" t="inlineStr"/>
      <c r="E77" s="10" t="inlineStr"/>
    </row>
    <row r="78">
      <c r="A78" s="10" t="inlineStr">
        <is>
          <t>MH-022</t>
        </is>
      </c>
      <c r="B78" s="10" t="inlineStr">
        <is>
          <t>E5</t>
        </is>
      </c>
      <c r="C78" s="10" t="inlineStr">
        <is>
          <t>Impresoras de barra 1 y 2</t>
        </is>
      </c>
      <c r="D78" s="10" t="inlineStr"/>
      <c r="E78" s="10" t="inlineStr">
        <is>
          <t>ver hoja kb_minuta_credencial</t>
        </is>
      </c>
    </row>
    <row r="79">
      <c r="A79" s="10" t="inlineStr">
        <is>
          <t>MH-023</t>
        </is>
      </c>
      <c r="B79" s="10" t="inlineStr">
        <is>
          <t>E5</t>
        </is>
      </c>
      <c r="C79" s="10" t="inlineStr">
        <is>
          <t>Impresoras caja, barra, cocina y empaquetados</t>
        </is>
      </c>
      <c r="D79" s="10" t="inlineStr"/>
      <c r="E79" s="10" t="inlineStr"/>
    </row>
    <row r="80">
      <c r="A80" s="10" t="inlineStr">
        <is>
          <t>MH-024</t>
        </is>
      </c>
      <c r="B80" s="10" t="inlineStr">
        <is>
          <t>E5</t>
        </is>
      </c>
      <c r="C80" s="10" t="inlineStr">
        <is>
          <t>Impresoras caja/barra y cocina</t>
        </is>
      </c>
      <c r="D80" s="10" t="inlineStr"/>
      <c r="E80" s="10" t="inlineStr">
        <is>
          <t>ver hoja kb_minuta_credencial</t>
        </is>
      </c>
    </row>
    <row r="81">
      <c r="A81" s="10" t="inlineStr">
        <is>
          <t>MH-024</t>
        </is>
      </c>
      <c r="B81" s="10" t="inlineStr">
        <is>
          <t>E9</t>
        </is>
      </c>
      <c r="C81" s="10" t="inlineStr">
        <is>
          <t>Cobertura de red y punto de corriente</t>
        </is>
      </c>
      <c r="D81" s="10" t="inlineStr"/>
      <c r="E81" s="10" t="inlineStr"/>
    </row>
    <row r="82">
      <c r="A82" s="10" t="inlineStr">
        <is>
          <t>MH-025</t>
        </is>
      </c>
      <c r="B82" s="10" t="inlineStr">
        <is>
          <t>OTRA</t>
        </is>
      </c>
      <c r="C82" s="10" t="inlineStr">
        <is>
          <t>Captura de AnyDesk</t>
        </is>
      </c>
      <c r="D82" s="10" t="inlineStr"/>
      <c r="E82" s="10" t="inlineStr">
        <is>
          <t>ver hoja kb_minuta_credencial</t>
        </is>
      </c>
    </row>
    <row r="83">
      <c r="A83" s="10" t="inlineStr">
        <is>
          <t>MH-027</t>
        </is>
      </c>
      <c r="B83" s="10" t="inlineStr">
        <is>
          <t>E9</t>
        </is>
      </c>
      <c r="C83" s="10" t="inlineStr">
        <is>
          <t>Caja principal, zona de mesas piso 1 y 2, puntos de corriente</t>
        </is>
      </c>
      <c r="D83" s="10" t="inlineStr"/>
      <c r="E83" s="10" t="inlineStr"/>
    </row>
    <row r="84">
      <c r="A84" s="10" t="inlineStr">
        <is>
          <t>MH-028</t>
        </is>
      </c>
      <c r="B84" s="10" t="inlineStr">
        <is>
          <t>E1</t>
        </is>
      </c>
      <c r="C84" s="10" t="inlineStr">
        <is>
          <t>Speedtest 94.42 Mbps</t>
        </is>
      </c>
      <c r="D84" s="10" t="inlineStr"/>
      <c r="E84" s="10" t="inlineStr"/>
    </row>
    <row r="85">
      <c r="A85" s="10" t="inlineStr">
        <is>
          <t>MH-028</t>
        </is>
      </c>
      <c r="B85" s="10" t="inlineStr">
        <is>
          <t>E2</t>
        </is>
      </c>
      <c r="C85" s="10" t="inlineStr">
        <is>
          <t>Router principal</t>
        </is>
      </c>
      <c r="D85" s="10" t="inlineStr"/>
      <c r="E85" s="10" t="inlineStr"/>
    </row>
    <row r="86">
      <c r="A86" s="10" t="inlineStr">
        <is>
          <t>MH-029</t>
        </is>
      </c>
      <c r="B86" s="10" t="inlineStr">
        <is>
          <t>E1</t>
        </is>
      </c>
      <c r="C86" s="10" t="inlineStr">
        <is>
          <t>Speedtest 1000 Mbps</t>
        </is>
      </c>
      <c r="D86" s="10" t="inlineStr"/>
      <c r="E86" s="10" t="inlineStr"/>
    </row>
    <row r="87">
      <c r="A87" s="10" t="inlineStr">
        <is>
          <t>MH-030</t>
        </is>
      </c>
      <c r="B87" s="10" t="inlineStr">
        <is>
          <t>E1</t>
        </is>
      </c>
      <c r="C87" s="10" t="inlineStr">
        <is>
          <t>Velocidad de la PC de caja y de cada impresora</t>
        </is>
      </c>
      <c r="D87" s="10" t="inlineStr"/>
      <c r="E87" s="10" t="inlineStr">
        <is>
          <t>ver hoja kb_minuta_credencial</t>
        </is>
      </c>
    </row>
    <row r="88">
      <c r="A88" s="10" t="inlineStr">
        <is>
          <t>MH-030</t>
        </is>
      </c>
      <c r="B88" s="10" t="inlineStr">
        <is>
          <t>E6</t>
        </is>
      </c>
      <c r="C88" s="10" t="inlineStr">
        <is>
          <t>Conexiones del switch</t>
        </is>
      </c>
      <c r="D88" s="10" t="inlineStr"/>
      <c r="E88" s="10" t="inlineStr"/>
    </row>
    <row r="89">
      <c r="A89" s="10" t="inlineStr">
        <is>
          <t>MH-031</t>
        </is>
      </c>
      <c r="B89" s="10" t="inlineStr">
        <is>
          <t>E1</t>
        </is>
      </c>
      <c r="C89" s="10" t="inlineStr">
        <is>
          <t>Velocidad Claro HFC</t>
        </is>
      </c>
      <c r="D89" s="10" t="inlineStr"/>
      <c r="E89" s="10" t="inlineStr">
        <is>
          <t>ver hoja kb_minuta_credencial</t>
        </is>
      </c>
    </row>
    <row r="90">
      <c r="A90" s="10" t="inlineStr">
        <is>
          <t>MH-031</t>
        </is>
      </c>
      <c r="B90" s="10" t="inlineStr">
        <is>
          <t>E8</t>
        </is>
      </c>
      <c r="C90" s="10" t="inlineStr">
        <is>
          <t>Dispositivos conectados</t>
        </is>
      </c>
      <c r="D90" s="10" t="inlineStr"/>
      <c r="E90" s="10" t="inlineStr"/>
    </row>
    <row r="91">
      <c r="A91" s="10" t="inlineStr">
        <is>
          <t>MH-032</t>
        </is>
      </c>
      <c r="B91" s="10" t="inlineStr">
        <is>
          <t>E1</t>
        </is>
      </c>
      <c r="C91" s="10" t="inlineStr">
        <is>
          <t>Velocidad Movistar</t>
        </is>
      </c>
      <c r="D91" s="10" t="inlineStr"/>
      <c r="E91" s="10" t="inlineStr"/>
    </row>
    <row r="92">
      <c r="A92" s="10" t="inlineStr">
        <is>
          <t>MH-033</t>
        </is>
      </c>
      <c r="B92" s="10" t="inlineStr">
        <is>
          <t>E1</t>
        </is>
      </c>
      <c r="C92" s="10" t="inlineStr">
        <is>
          <t>Speedtest de la red y de la tablet</t>
        </is>
      </c>
      <c r="D92" s="10" t="inlineStr"/>
      <c r="E92" s="10" t="inlineStr"/>
    </row>
    <row r="93">
      <c r="A93" s="10" t="inlineStr">
        <is>
          <t>MH-033</t>
        </is>
      </c>
      <c r="B93" s="10" t="inlineStr">
        <is>
          <t>E6</t>
        </is>
      </c>
      <c r="C93" s="10" t="inlineStr">
        <is>
          <t>Cable de cámaras y punto de red directo</t>
        </is>
      </c>
      <c r="D93" s="10" t="inlineStr"/>
      <c r="E93" s="10" t="inlineStr"/>
    </row>
    <row r="94">
      <c r="A94" s="10" t="inlineStr">
        <is>
          <t>MH-034</t>
        </is>
      </c>
      <c r="B94" s="10" t="inlineStr">
        <is>
          <t>E1</t>
        </is>
      </c>
      <c r="C94" s="10" t="inlineStr">
        <is>
          <t>Test de la red WiFi</t>
        </is>
      </c>
      <c r="D94" s="10" t="inlineStr"/>
      <c r="E94" s="10" t="inlineStr"/>
    </row>
    <row r="95">
      <c r="A95" s="10" t="inlineStr">
        <is>
          <t>MH-035</t>
        </is>
      </c>
      <c r="B95" s="10" t="inlineStr">
        <is>
          <t>E1</t>
        </is>
      </c>
      <c r="C95" s="10" t="inlineStr">
        <is>
          <t>Velocidad Movistar HFC</t>
        </is>
      </c>
      <c r="D95" s="10" t="inlineStr"/>
      <c r="E95" s="10" t="inlineStr">
        <is>
          <t>ver hoja kb_minuta_credencial</t>
        </is>
      </c>
    </row>
    <row r="96">
      <c r="A96" s="10" t="inlineStr">
        <is>
          <t>MH-035</t>
        </is>
      </c>
      <c r="B96" s="10" t="inlineStr">
        <is>
          <t>E8</t>
        </is>
      </c>
      <c r="C96" s="10" t="inlineStr">
        <is>
          <t>Dispositivos conectados a la red</t>
        </is>
      </c>
      <c r="D96" s="10" t="inlineStr"/>
      <c r="E96" s="10" t="inlineStr"/>
    </row>
    <row r="97">
      <c r="A97" s="10" t="inlineStr">
        <is>
          <t>MH-036</t>
        </is>
      </c>
      <c r="B97" s="10" t="inlineStr">
        <is>
          <t>E6</t>
        </is>
      </c>
      <c r="C97" s="10" t="inlineStr">
        <is>
          <t>Cable de caja mal ponchado; data center</t>
        </is>
      </c>
      <c r="D97" s="10" t="inlineStr"/>
      <c r="E97" s="10" t="inlineStr"/>
    </row>
    <row r="98">
      <c r="A98" s="10" t="inlineStr">
        <is>
          <t>MH-037</t>
        </is>
      </c>
      <c r="B98" s="10" t="inlineStr">
        <is>
          <t>E1</t>
        </is>
      </c>
      <c r="C98" s="10" t="inlineStr">
        <is>
          <t>Velocidad de red desde el switch</t>
        </is>
      </c>
      <c r="D98" s="10" t="inlineStr"/>
      <c r="E98" s="10" t="inlineStr"/>
    </row>
    <row r="99">
      <c r="A99" s="10" t="inlineStr">
        <is>
          <t>MH-037</t>
        </is>
      </c>
      <c r="B99" s="10" t="inlineStr">
        <is>
          <t>E8</t>
        </is>
      </c>
      <c r="C99" s="10" t="inlineStr">
        <is>
          <t>Dispositivos asociados a la red</t>
        </is>
      </c>
      <c r="D99" s="10" t="inlineStr"/>
      <c r="E99" s="10" t="inlineStr"/>
    </row>
    <row r="100">
      <c r="A100" s="10" t="inlineStr">
        <is>
          <t>MH-038</t>
        </is>
      </c>
      <c r="B100" s="10" t="inlineStr">
        <is>
          <t>E1</t>
        </is>
      </c>
      <c r="C100" s="10" t="inlineStr">
        <is>
          <t>Velocidad en la laptop de ID</t>
        </is>
      </c>
      <c r="D100" s="10" t="inlineStr"/>
      <c r="E100" s="10" t="inlineStr"/>
    </row>
    <row r="101">
      <c r="A101" s="10" t="inlineStr">
        <is>
          <t>MH-039</t>
        </is>
      </c>
      <c r="B101" s="10" t="inlineStr">
        <is>
          <t>E5</t>
        </is>
      </c>
      <c r="C101" s="10" t="inlineStr">
        <is>
          <t>Impresoras Caleta 01 y 02</t>
        </is>
      </c>
      <c r="D101" s="10" t="inlineStr"/>
      <c r="E101" s="10" t="inlineStr">
        <is>
          <t>ver hoja kb_minuta_credencial</t>
        </is>
      </c>
    </row>
    <row r="102">
      <c r="A102" s="10" t="inlineStr">
        <is>
          <t>MH-040</t>
        </is>
      </c>
      <c r="B102" s="10" t="inlineStr">
        <is>
          <t>E1</t>
        </is>
      </c>
      <c r="C102" s="10" t="inlineStr">
        <is>
          <t>Velocidad por WiFi y por cable</t>
        </is>
      </c>
      <c r="D102" s="10" t="inlineStr"/>
      <c r="E102" s="10" t="inlineStr">
        <is>
          <t>ver hoja kb_minuta_credencial</t>
        </is>
      </c>
    </row>
    <row r="103">
      <c r="A103" s="10" t="inlineStr">
        <is>
          <t>MH-041</t>
        </is>
      </c>
      <c r="B103" s="10" t="inlineStr">
        <is>
          <t>VIDEO</t>
        </is>
      </c>
      <c r="C103" s="10" t="inlineStr">
        <is>
          <t>Video del área y vista aérea de las tomas de energía</t>
        </is>
      </c>
      <c r="D103" s="10" t="inlineStr"/>
      <c r="E103" s="10" t="inlineStr"/>
    </row>
    <row r="104">
      <c r="A104" s="10" t="inlineStr">
        <is>
          <t>MH-042</t>
        </is>
      </c>
      <c r="B104" s="10" t="inlineStr">
        <is>
          <t>E5</t>
        </is>
      </c>
      <c r="C104" s="10" t="inlineStr">
        <is>
          <t>Prueba de impresión</t>
        </is>
      </c>
      <c r="D104" s="10" t="inlineStr"/>
      <c r="E104" s="10" t="inlineStr"/>
    </row>
    <row r="105">
      <c r="A105" s="10" t="inlineStr">
        <is>
          <t>MH-043</t>
        </is>
      </c>
      <c r="B105" s="10" t="inlineStr">
        <is>
          <t>E1</t>
        </is>
      </c>
      <c r="C105" s="10" t="inlineStr">
        <is>
          <t>Speedtest Caja 01 y Caja 02</t>
        </is>
      </c>
      <c r="D105" s="10" t="inlineStr"/>
      <c r="E105" s="10" t="inlineStr"/>
    </row>
    <row r="106">
      <c r="A106" s="10" t="inlineStr">
        <is>
          <t>MH-043</t>
        </is>
      </c>
      <c r="B106" s="10" t="inlineStr">
        <is>
          <t>E4</t>
        </is>
      </c>
      <c r="C106" s="10" t="inlineStr">
        <is>
          <t>ipconfig Caja 01</t>
        </is>
      </c>
      <c r="D106" s="10" t="inlineStr"/>
      <c r="E106" s="10" t="inlineStr"/>
    </row>
    <row r="107">
      <c r="A107" s="10" t="inlineStr">
        <is>
          <t>MH-043</t>
        </is>
      </c>
      <c r="B107" s="10" t="inlineStr">
        <is>
          <t>E8</t>
        </is>
      </c>
      <c r="C107" s="10" t="inlineStr">
        <is>
          <t>Escaneo 192.168.10.1-254</t>
        </is>
      </c>
      <c r="D107" s="10" t="inlineStr"/>
      <c r="E107" s="10" t="inlineStr"/>
    </row>
    <row r="108">
      <c r="A108" s="10" t="inlineStr">
        <is>
          <t>MH-043</t>
        </is>
      </c>
      <c r="B108" s="10" t="inlineStr">
        <is>
          <t>E5</t>
        </is>
      </c>
      <c r="C108" s="10" t="inlineStr">
        <is>
          <t>Selftest de impresoras Caja 01 y Caja 02</t>
        </is>
      </c>
      <c r="D108" s="10" t="inlineStr"/>
      <c r="E108" s="10" t="inlineStr"/>
    </row>
    <row r="109">
      <c r="A109" s="10" t="inlineStr">
        <is>
          <t>MH-043</t>
        </is>
      </c>
      <c r="B109" s="10" t="inlineStr">
        <is>
          <t>E9</t>
        </is>
      </c>
      <c r="C109" s="10" t="inlineStr">
        <is>
          <t>Fachada, interior y zona de cajas</t>
        </is>
      </c>
      <c r="D109" s="10" t="inlineStr"/>
      <c r="E109" s="10" t="inlineStr"/>
    </row>
    <row r="110">
      <c r="A110" s="10" t="inlineStr">
        <is>
          <t>MH-044</t>
        </is>
      </c>
      <c r="B110" s="10" t="inlineStr">
        <is>
          <t>E2</t>
        </is>
      </c>
      <c r="C110" s="10" t="inlineStr">
        <is>
          <t>Router principal</t>
        </is>
      </c>
      <c r="D110" s="10" t="inlineStr"/>
      <c r="E110" s="10" t="inlineStr">
        <is>
          <t>ver hoja kb_minuta_credencial</t>
        </is>
      </c>
    </row>
    <row r="111">
      <c r="A111" s="10" t="inlineStr">
        <is>
          <t>MH-044</t>
        </is>
      </c>
      <c r="B111" s="10" t="inlineStr">
        <is>
          <t>E9</t>
        </is>
      </c>
      <c r="C111" s="10" t="inlineStr">
        <is>
          <t>Cafetería, terraza, privado y mesas</t>
        </is>
      </c>
      <c r="D111" s="10" t="inlineStr"/>
      <c r="E111" s="10" t="inlineStr"/>
    </row>
    <row r="112">
      <c r="A112" s="13" t="n"/>
      <c r="B112" s="13" t="n"/>
      <c r="C112" s="13" t="n"/>
      <c r="D112" s="13" t="n"/>
      <c r="E112" s="13" t="n"/>
    </row>
    <row r="113">
      <c r="A113" s="13" t="n"/>
      <c r="B113" s="13" t="n"/>
      <c r="C113" s="13" t="n"/>
      <c r="D113" s="13" t="n"/>
      <c r="E113" s="13" t="n"/>
    </row>
    <row r="114">
      <c r="A114" s="13" t="n"/>
      <c r="B114" s="13" t="n"/>
      <c r="C114" s="13" t="n"/>
      <c r="D114" s="13" t="n"/>
      <c r="E114" s="13" t="n"/>
    </row>
    <row r="115">
      <c r="A115" s="13" t="n"/>
      <c r="B115" s="13" t="n"/>
      <c r="C115" s="13" t="n"/>
      <c r="D115" s="13" t="n"/>
      <c r="E115" s="13" t="n"/>
    </row>
    <row r="116">
      <c r="A116" s="13" t="n"/>
      <c r="B116" s="13" t="n"/>
      <c r="C116" s="13" t="n"/>
      <c r="D116" s="13" t="n"/>
      <c r="E116" s="13" t="n"/>
    </row>
    <row r="117">
      <c r="A117" s="13" t="n"/>
      <c r="B117" s="13" t="n"/>
      <c r="C117" s="13" t="n"/>
      <c r="D117" s="13" t="n"/>
      <c r="E117" s="13" t="n"/>
    </row>
    <row r="118">
      <c r="A118" s="13" t="n"/>
      <c r="B118" s="13" t="n"/>
      <c r="C118" s="13" t="n"/>
      <c r="D118" s="13" t="n"/>
      <c r="E118" s="13" t="n"/>
    </row>
    <row r="119">
      <c r="A119" s="13" t="n"/>
      <c r="B119" s="13" t="n"/>
      <c r="C119" s="13" t="n"/>
      <c r="D119" s="13" t="n"/>
      <c r="E119" s="13" t="n"/>
    </row>
    <row r="120">
      <c r="A120" s="13" t="n"/>
      <c r="B120" s="13" t="n"/>
      <c r="C120" s="13" t="n"/>
      <c r="D120" s="13" t="n"/>
      <c r="E120" s="13" t="n"/>
    </row>
    <row r="121">
      <c r="A121" s="13" t="n"/>
      <c r="B121" s="13" t="n"/>
      <c r="C121" s="13" t="n"/>
      <c r="D121" s="13" t="n"/>
      <c r="E121" s="13" t="n"/>
    </row>
    <row r="122">
      <c r="A122" s="13" t="n"/>
      <c r="B122" s="13" t="n"/>
      <c r="C122" s="13" t="n"/>
      <c r="D122" s="13" t="n"/>
      <c r="E122" s="13" t="n"/>
    </row>
    <row r="123">
      <c r="A123" s="13" t="n"/>
      <c r="B123" s="13" t="n"/>
      <c r="C123" s="13" t="n"/>
      <c r="D123" s="13" t="n"/>
      <c r="E123" s="13" t="n"/>
    </row>
    <row r="124">
      <c r="A124" s="13" t="n"/>
      <c r="B124" s="13" t="n"/>
      <c r="C124" s="13" t="n"/>
      <c r="D124" s="13" t="n"/>
      <c r="E124" s="13" t="n"/>
    </row>
    <row r="125">
      <c r="A125" s="13" t="n"/>
      <c r="B125" s="13" t="n"/>
      <c r="C125" s="13" t="n"/>
      <c r="D125" s="13" t="n"/>
      <c r="E125" s="13" t="n"/>
    </row>
    <row r="126">
      <c r="A126" s="13" t="n"/>
      <c r="B126" s="13" t="n"/>
      <c r="C126" s="13" t="n"/>
      <c r="D126" s="13" t="n"/>
      <c r="E126" s="13" t="n"/>
    </row>
    <row r="127">
      <c r="A127" s="13" t="n"/>
      <c r="B127" s="13" t="n"/>
      <c r="C127" s="13" t="n"/>
      <c r="D127" s="13" t="n"/>
      <c r="E127" s="13" t="n"/>
    </row>
    <row r="128">
      <c r="A128" s="13" t="n"/>
      <c r="B128" s="13" t="n"/>
      <c r="C128" s="13" t="n"/>
      <c r="D128" s="13" t="n"/>
      <c r="E128" s="13" t="n"/>
    </row>
    <row r="129">
      <c r="A129" s="13" t="n"/>
      <c r="B129" s="13" t="n"/>
      <c r="C129" s="13" t="n"/>
      <c r="D129" s="13" t="n"/>
      <c r="E129" s="13" t="n"/>
    </row>
    <row r="130">
      <c r="A130" s="13" t="n"/>
      <c r="B130" s="13" t="n"/>
      <c r="C130" s="13" t="n"/>
      <c r="D130" s="13" t="n"/>
      <c r="E130" s="13" t="n"/>
    </row>
    <row r="131">
      <c r="A131" s="13" t="n"/>
      <c r="B131" s="13" t="n"/>
      <c r="C131" s="13" t="n"/>
      <c r="D131" s="13" t="n"/>
      <c r="E131" s="13" t="n"/>
    </row>
    <row r="132">
      <c r="A132" s="13" t="n"/>
      <c r="B132" s="13" t="n"/>
      <c r="C132" s="13" t="n"/>
      <c r="D132" s="13" t="n"/>
      <c r="E132" s="13" t="n"/>
    </row>
    <row r="133">
      <c r="A133" s="13" t="n"/>
      <c r="B133" s="13" t="n"/>
      <c r="C133" s="13" t="n"/>
      <c r="D133" s="13" t="n"/>
      <c r="E133" s="13" t="n"/>
    </row>
    <row r="134">
      <c r="A134" s="13" t="n"/>
      <c r="B134" s="13" t="n"/>
      <c r="C134" s="13" t="n"/>
      <c r="D134" s="13" t="n"/>
      <c r="E134" s="13" t="n"/>
    </row>
    <row r="135">
      <c r="A135" s="13" t="n"/>
      <c r="B135" s="13" t="n"/>
      <c r="C135" s="13" t="n"/>
      <c r="D135" s="13" t="n"/>
      <c r="E135" s="13" t="n"/>
    </row>
    <row r="136">
      <c r="A136" s="13" t="n"/>
      <c r="B136" s="13" t="n"/>
      <c r="C136" s="13" t="n"/>
      <c r="D136" s="13" t="n"/>
      <c r="E136" s="13" t="n"/>
    </row>
    <row r="137">
      <c r="A137" s="13" t="n"/>
      <c r="B137" s="13" t="n"/>
      <c r="C137" s="13" t="n"/>
      <c r="D137" s="13" t="n"/>
      <c r="E137" s="13" t="n"/>
    </row>
    <row r="138">
      <c r="A138" s="13" t="n"/>
      <c r="B138" s="13" t="n"/>
      <c r="C138" s="13" t="n"/>
      <c r="D138" s="13" t="n"/>
      <c r="E138" s="13" t="n"/>
    </row>
    <row r="139">
      <c r="A139" s="13" t="n"/>
      <c r="B139" s="13" t="n"/>
      <c r="C139" s="13" t="n"/>
      <c r="D139" s="13" t="n"/>
      <c r="E139" s="13" t="n"/>
    </row>
    <row r="140">
      <c r="A140" s="13" t="n"/>
      <c r="B140" s="13" t="n"/>
      <c r="C140" s="13" t="n"/>
      <c r="D140" s="13" t="n"/>
      <c r="E140" s="13" t="n"/>
    </row>
    <row r="141">
      <c r="A141" s="13" t="n"/>
      <c r="B141" s="13" t="n"/>
      <c r="C141" s="13" t="n"/>
      <c r="D141" s="13" t="n"/>
      <c r="E141" s="13" t="n"/>
    </row>
    <row r="142">
      <c r="A142" s="13" t="n"/>
      <c r="B142" s="13" t="n"/>
      <c r="C142" s="13" t="n"/>
      <c r="D142" s="13" t="n"/>
      <c r="E142" s="13" t="n"/>
    </row>
    <row r="143">
      <c r="A143" s="13" t="n"/>
      <c r="B143" s="13" t="n"/>
      <c r="C143" s="13" t="n"/>
      <c r="D143" s="13" t="n"/>
      <c r="E143" s="13" t="n"/>
    </row>
    <row r="144">
      <c r="A144" s="13" t="n"/>
      <c r="B144" s="13" t="n"/>
      <c r="C144" s="13" t="n"/>
      <c r="D144" s="13" t="n"/>
      <c r="E144" s="13" t="n"/>
    </row>
    <row r="145">
      <c r="A145" s="13" t="n"/>
      <c r="B145" s="13" t="n"/>
      <c r="C145" s="13" t="n"/>
      <c r="D145" s="13" t="n"/>
      <c r="E145" s="13" t="n"/>
    </row>
    <row r="146">
      <c r="A146" s="13" t="n"/>
      <c r="B146" s="13" t="n"/>
      <c r="C146" s="13" t="n"/>
      <c r="D146" s="13" t="n"/>
      <c r="E146" s="13" t="n"/>
    </row>
    <row r="147">
      <c r="A147" s="13" t="n"/>
      <c r="B147" s="13" t="n"/>
      <c r="C147" s="13" t="n"/>
      <c r="D147" s="13" t="n"/>
      <c r="E147" s="13" t="n"/>
    </row>
    <row r="148">
      <c r="A148" s="13" t="n"/>
      <c r="B148" s="13" t="n"/>
      <c r="C148" s="13" t="n"/>
      <c r="D148" s="13" t="n"/>
      <c r="E148" s="13" t="n"/>
    </row>
    <row r="149">
      <c r="A149" s="13" t="n"/>
      <c r="B149" s="13" t="n"/>
      <c r="C149" s="13" t="n"/>
      <c r="D149" s="13" t="n"/>
      <c r="E149" s="13" t="n"/>
    </row>
    <row r="150">
      <c r="A150" s="13" t="n"/>
      <c r="B150" s="13" t="n"/>
      <c r="C150" s="13" t="n"/>
      <c r="D150" s="13" t="n"/>
      <c r="E150" s="13" t="n"/>
    </row>
    <row r="151">
      <c r="A151" s="13" t="n"/>
      <c r="B151" s="13" t="n"/>
      <c r="C151" s="13" t="n"/>
      <c r="D151" s="13" t="n"/>
      <c r="E151" s="13" t="n"/>
    </row>
    <row r="152">
      <c r="A152" s="13" t="n"/>
      <c r="B152" s="13" t="n"/>
      <c r="C152" s="13" t="n"/>
      <c r="D152" s="13" t="n"/>
      <c r="E152" s="13" t="n"/>
    </row>
    <row r="153">
      <c r="A153" s="13" t="n"/>
      <c r="B153" s="13" t="n"/>
      <c r="C153" s="13" t="n"/>
      <c r="D153" s="13" t="n"/>
      <c r="E153" s="13" t="n"/>
    </row>
    <row r="154">
      <c r="A154" s="13" t="n"/>
      <c r="B154" s="13" t="n"/>
      <c r="C154" s="13" t="n"/>
      <c r="D154" s="13" t="n"/>
      <c r="E154" s="13" t="n"/>
    </row>
    <row r="155">
      <c r="A155" s="13" t="n"/>
      <c r="B155" s="13" t="n"/>
      <c r="C155" s="13" t="n"/>
      <c r="D155" s="13" t="n"/>
      <c r="E155" s="13" t="n"/>
    </row>
    <row r="156">
      <c r="A156" s="13" t="n"/>
      <c r="B156" s="13" t="n"/>
      <c r="C156" s="13" t="n"/>
      <c r="D156" s="13" t="n"/>
      <c r="E156" s="13" t="n"/>
    </row>
    <row r="157">
      <c r="A157" s="13" t="n"/>
      <c r="B157" s="13" t="n"/>
      <c r="C157" s="13" t="n"/>
      <c r="D157" s="13" t="n"/>
      <c r="E157" s="13" t="n"/>
    </row>
    <row r="158">
      <c r="A158" s="13" t="n"/>
      <c r="B158" s="13" t="n"/>
      <c r="C158" s="13" t="n"/>
      <c r="D158" s="13" t="n"/>
      <c r="E158" s="13" t="n"/>
    </row>
    <row r="159">
      <c r="A159" s="13" t="n"/>
      <c r="B159" s="13" t="n"/>
      <c r="C159" s="13" t="n"/>
      <c r="D159" s="13" t="n"/>
      <c r="E159" s="13" t="n"/>
    </row>
    <row r="160">
      <c r="A160" s="13" t="n"/>
      <c r="B160" s="13" t="n"/>
      <c r="C160" s="13" t="n"/>
      <c r="D160" s="13" t="n"/>
      <c r="E160" s="13" t="n"/>
    </row>
    <row r="161">
      <c r="A161" s="13" t="n"/>
      <c r="B161" s="13" t="n"/>
      <c r="C161" s="13" t="n"/>
      <c r="D161" s="13" t="n"/>
      <c r="E161" s="13" t="n"/>
    </row>
    <row r="162">
      <c r="A162" s="13" t="n"/>
      <c r="B162" s="13" t="n"/>
      <c r="C162" s="13" t="n"/>
      <c r="D162" s="13" t="n"/>
      <c r="E162" s="13" t="n"/>
    </row>
    <row r="163">
      <c r="A163" s="13" t="n"/>
      <c r="B163" s="13" t="n"/>
      <c r="C163" s="13" t="n"/>
      <c r="D163" s="13" t="n"/>
      <c r="E163" s="13" t="n"/>
    </row>
    <row r="164">
      <c r="A164" s="13" t="n"/>
      <c r="B164" s="13" t="n"/>
      <c r="C164" s="13" t="n"/>
      <c r="D164" s="13" t="n"/>
      <c r="E164" s="13" t="n"/>
    </row>
    <row r="165">
      <c r="A165" s="13" t="n"/>
      <c r="B165" s="13" t="n"/>
      <c r="C165" s="13" t="n"/>
      <c r="D165" s="13" t="n"/>
      <c r="E165" s="13" t="n"/>
    </row>
    <row r="166">
      <c r="A166" s="13" t="n"/>
      <c r="B166" s="13" t="n"/>
      <c r="C166" s="13" t="n"/>
      <c r="D166" s="13" t="n"/>
      <c r="E166" s="13" t="n"/>
    </row>
    <row r="167">
      <c r="A167" s="13" t="n"/>
      <c r="B167" s="13" t="n"/>
      <c r="C167" s="13" t="n"/>
      <c r="D167" s="13" t="n"/>
      <c r="E167" s="13" t="n"/>
    </row>
    <row r="168">
      <c r="A168" s="13" t="n"/>
      <c r="B168" s="13" t="n"/>
      <c r="C168" s="13" t="n"/>
      <c r="D168" s="13" t="n"/>
      <c r="E168" s="13" t="n"/>
    </row>
    <row r="169">
      <c r="A169" s="13" t="n"/>
      <c r="B169" s="13" t="n"/>
      <c r="C169" s="13" t="n"/>
      <c r="D169" s="13" t="n"/>
      <c r="E169" s="13" t="n"/>
    </row>
    <row r="170">
      <c r="A170" s="13" t="n"/>
      <c r="B170" s="13" t="n"/>
      <c r="C170" s="13" t="n"/>
      <c r="D170" s="13" t="n"/>
      <c r="E170" s="13" t="n"/>
    </row>
    <row r="171">
      <c r="A171" s="13" t="n"/>
      <c r="B171" s="13" t="n"/>
      <c r="C171" s="13" t="n"/>
      <c r="D171" s="13" t="n"/>
      <c r="E171" s="13" t="n"/>
    </row>
    <row r="172">
      <c r="A172" s="13" t="n"/>
      <c r="B172" s="13" t="n"/>
      <c r="C172" s="13" t="n"/>
      <c r="D172" s="13" t="n"/>
      <c r="E172" s="13" t="n"/>
    </row>
    <row r="173">
      <c r="A173" s="13" t="n"/>
      <c r="B173" s="13" t="n"/>
      <c r="C173" s="13" t="n"/>
      <c r="D173" s="13" t="n"/>
      <c r="E173" s="13" t="n"/>
    </row>
    <row r="174">
      <c r="A174" s="13" t="n"/>
      <c r="B174" s="13" t="n"/>
      <c r="C174" s="13" t="n"/>
      <c r="D174" s="13" t="n"/>
      <c r="E174" s="13" t="n"/>
    </row>
    <row r="175">
      <c r="A175" s="13" t="n"/>
      <c r="B175" s="13" t="n"/>
      <c r="C175" s="13" t="n"/>
      <c r="D175" s="13" t="n"/>
      <c r="E175" s="13" t="n"/>
    </row>
    <row r="176">
      <c r="A176" s="13" t="n"/>
      <c r="B176" s="13" t="n"/>
      <c r="C176" s="13" t="n"/>
      <c r="D176" s="13" t="n"/>
      <c r="E176" s="13" t="n"/>
    </row>
    <row r="177">
      <c r="A177" s="13" t="n"/>
      <c r="B177" s="13" t="n"/>
      <c r="C177" s="13" t="n"/>
      <c r="D177" s="13" t="n"/>
      <c r="E177" s="13" t="n"/>
    </row>
    <row r="178">
      <c r="A178" s="13" t="n"/>
      <c r="B178" s="13" t="n"/>
      <c r="C178" s="13" t="n"/>
      <c r="D178" s="13" t="n"/>
      <c r="E178" s="13" t="n"/>
    </row>
    <row r="179">
      <c r="A179" s="13" t="n"/>
      <c r="B179" s="13" t="n"/>
      <c r="C179" s="13" t="n"/>
      <c r="D179" s="13" t="n"/>
      <c r="E179" s="13" t="n"/>
    </row>
    <row r="180">
      <c r="A180" s="13" t="n"/>
      <c r="B180" s="13" t="n"/>
      <c r="C180" s="13" t="n"/>
      <c r="D180" s="13" t="n"/>
      <c r="E180" s="13" t="n"/>
    </row>
    <row r="181">
      <c r="A181" s="13" t="n"/>
      <c r="B181" s="13" t="n"/>
      <c r="C181" s="13" t="n"/>
      <c r="D181" s="13" t="n"/>
      <c r="E181" s="13" t="n"/>
    </row>
    <row r="182">
      <c r="A182" s="13" t="n"/>
      <c r="B182" s="13" t="n"/>
      <c r="C182" s="13" t="n"/>
      <c r="D182" s="13" t="n"/>
      <c r="E182" s="13" t="n"/>
    </row>
    <row r="183">
      <c r="A183" s="13" t="n"/>
      <c r="B183" s="13" t="n"/>
      <c r="C183" s="13" t="n"/>
      <c r="D183" s="13" t="n"/>
      <c r="E183" s="13" t="n"/>
    </row>
    <row r="184">
      <c r="A184" s="13" t="n"/>
      <c r="B184" s="13" t="n"/>
      <c r="C184" s="13" t="n"/>
      <c r="D184" s="13" t="n"/>
      <c r="E184" s="13" t="n"/>
    </row>
    <row r="185">
      <c r="A185" s="13" t="n"/>
      <c r="B185" s="13" t="n"/>
      <c r="C185" s="13" t="n"/>
      <c r="D185" s="13" t="n"/>
      <c r="E185" s="13" t="n"/>
    </row>
    <row r="186">
      <c r="A186" s="13" t="n"/>
      <c r="B186" s="13" t="n"/>
      <c r="C186" s="13" t="n"/>
      <c r="D186" s="13" t="n"/>
      <c r="E186" s="13" t="n"/>
    </row>
    <row r="187">
      <c r="A187" s="13" t="n"/>
      <c r="B187" s="13" t="n"/>
      <c r="C187" s="13" t="n"/>
      <c r="D187" s="13" t="n"/>
      <c r="E187" s="13" t="n"/>
    </row>
    <row r="188">
      <c r="A188" s="13" t="n"/>
      <c r="B188" s="13" t="n"/>
      <c r="C188" s="13" t="n"/>
      <c r="D188" s="13" t="n"/>
      <c r="E188" s="13" t="n"/>
    </row>
    <row r="189">
      <c r="A189" s="13" t="n"/>
      <c r="B189" s="13" t="n"/>
      <c r="C189" s="13" t="n"/>
      <c r="D189" s="13" t="n"/>
      <c r="E189" s="13" t="n"/>
    </row>
    <row r="190">
      <c r="A190" s="13" t="n"/>
      <c r="B190" s="13" t="n"/>
      <c r="C190" s="13" t="n"/>
      <c r="D190" s="13" t="n"/>
      <c r="E190" s="13" t="n"/>
    </row>
    <row r="191">
      <c r="A191" s="13" t="n"/>
      <c r="B191" s="13" t="n"/>
      <c r="C191" s="13" t="n"/>
      <c r="D191" s="13" t="n"/>
      <c r="E191" s="13" t="n"/>
    </row>
    <row r="192">
      <c r="A192" s="13" t="n"/>
      <c r="B192" s="13" t="n"/>
      <c r="C192" s="13" t="n"/>
      <c r="D192" s="13" t="n"/>
      <c r="E192" s="13" t="n"/>
    </row>
    <row r="193">
      <c r="A193" s="13" t="n"/>
      <c r="B193" s="13" t="n"/>
      <c r="C193" s="13" t="n"/>
      <c r="D193" s="13" t="n"/>
      <c r="E193" s="13" t="n"/>
    </row>
    <row r="194">
      <c r="A194" s="13" t="n"/>
      <c r="B194" s="13" t="n"/>
      <c r="C194" s="13" t="n"/>
      <c r="D194" s="13" t="n"/>
      <c r="E194" s="13" t="n"/>
    </row>
    <row r="195">
      <c r="A195" s="13" t="n"/>
      <c r="B195" s="13" t="n"/>
      <c r="C195" s="13" t="n"/>
      <c r="D195" s="13" t="n"/>
      <c r="E195" s="13" t="n"/>
    </row>
    <row r="196">
      <c r="A196" s="13" t="n"/>
      <c r="B196" s="13" t="n"/>
      <c r="C196" s="13" t="n"/>
      <c r="D196" s="13" t="n"/>
      <c r="E196" s="13" t="n"/>
    </row>
    <row r="197">
      <c r="A197" s="13" t="n"/>
      <c r="B197" s="13" t="n"/>
      <c r="C197" s="13" t="n"/>
      <c r="D197" s="13" t="n"/>
      <c r="E197" s="13" t="n"/>
    </row>
    <row r="198">
      <c r="A198" s="13" t="n"/>
      <c r="B198" s="13" t="n"/>
      <c r="C198" s="13" t="n"/>
      <c r="D198" s="13" t="n"/>
      <c r="E198" s="13" t="n"/>
    </row>
    <row r="199">
      <c r="A199" s="13" t="n"/>
      <c r="B199" s="13" t="n"/>
      <c r="C199" s="13" t="n"/>
      <c r="D199" s="13" t="n"/>
      <c r="E199" s="13" t="n"/>
    </row>
    <row r="200">
      <c r="A200" s="13" t="n"/>
      <c r="B200" s="13" t="n"/>
      <c r="C200" s="13" t="n"/>
      <c r="D200" s="13" t="n"/>
      <c r="E200" s="13" t="n"/>
    </row>
    <row r="201">
      <c r="A201" s="13" t="n"/>
      <c r="B201" s="13" t="n"/>
      <c r="C201" s="13" t="n"/>
      <c r="D201" s="13" t="n"/>
      <c r="E201" s="13" t="n"/>
    </row>
    <row r="202">
      <c r="A202" s="13" t="n"/>
      <c r="B202" s="13" t="n"/>
      <c r="C202" s="13" t="n"/>
      <c r="D202" s="13" t="n"/>
      <c r="E202" s="13" t="n"/>
    </row>
    <row r="203">
      <c r="A203" s="13" t="n"/>
      <c r="B203" s="13" t="n"/>
      <c r="C203" s="13" t="n"/>
      <c r="D203" s="13" t="n"/>
      <c r="E203" s="13" t="n"/>
    </row>
    <row r="204">
      <c r="A204" s="13" t="n"/>
      <c r="B204" s="13" t="n"/>
      <c r="C204" s="13" t="n"/>
      <c r="D204" s="13" t="n"/>
      <c r="E204" s="13" t="n"/>
    </row>
    <row r="205">
      <c r="A205" s="13" t="n"/>
      <c r="B205" s="13" t="n"/>
      <c r="C205" s="13" t="n"/>
      <c r="D205" s="13" t="n"/>
      <c r="E205" s="13" t="n"/>
    </row>
    <row r="206">
      <c r="A206" s="13" t="n"/>
      <c r="B206" s="13" t="n"/>
      <c r="C206" s="13" t="n"/>
      <c r="D206" s="13" t="n"/>
      <c r="E206" s="13" t="n"/>
    </row>
    <row r="207">
      <c r="A207" s="13" t="n"/>
      <c r="B207" s="13" t="n"/>
      <c r="C207" s="13" t="n"/>
      <c r="D207" s="13" t="n"/>
      <c r="E207" s="13" t="n"/>
    </row>
    <row r="208">
      <c r="A208" s="13" t="n"/>
      <c r="B208" s="13" t="n"/>
      <c r="C208" s="13" t="n"/>
      <c r="D208" s="13" t="n"/>
      <c r="E208" s="13" t="n"/>
    </row>
    <row r="209">
      <c r="A209" s="13" t="n"/>
      <c r="B209" s="13" t="n"/>
      <c r="C209" s="13" t="n"/>
      <c r="D209" s="13" t="n"/>
      <c r="E209" s="13" t="n"/>
    </row>
    <row r="210">
      <c r="A210" s="13" t="n"/>
      <c r="B210" s="13" t="n"/>
      <c r="C210" s="13" t="n"/>
      <c r="D210" s="13" t="n"/>
      <c r="E210" s="13" t="n"/>
    </row>
    <row r="211">
      <c r="A211" s="13" t="n"/>
      <c r="B211" s="13" t="n"/>
      <c r="C211" s="13" t="n"/>
      <c r="D211" s="13" t="n"/>
      <c r="E211" s="13" t="n"/>
    </row>
    <row r="212">
      <c r="A212" s="13" t="n"/>
      <c r="B212" s="13" t="n"/>
      <c r="C212" s="13" t="n"/>
      <c r="D212" s="13" t="n"/>
      <c r="E212" s="13" t="n"/>
    </row>
    <row r="213">
      <c r="A213" s="13" t="n"/>
      <c r="B213" s="13" t="n"/>
      <c r="C213" s="13" t="n"/>
      <c r="D213" s="13" t="n"/>
      <c r="E213" s="13" t="n"/>
    </row>
    <row r="214">
      <c r="A214" s="13" t="n"/>
      <c r="B214" s="13" t="n"/>
      <c r="C214" s="13" t="n"/>
      <c r="D214" s="13" t="n"/>
      <c r="E214" s="13" t="n"/>
    </row>
    <row r="215">
      <c r="A215" s="13" t="n"/>
      <c r="B215" s="13" t="n"/>
      <c r="C215" s="13" t="n"/>
      <c r="D215" s="13" t="n"/>
      <c r="E215" s="13" t="n"/>
    </row>
    <row r="216">
      <c r="A216" s="13" t="n"/>
      <c r="B216" s="13" t="n"/>
      <c r="C216" s="13" t="n"/>
      <c r="D216" s="13" t="n"/>
      <c r="E216" s="13" t="n"/>
    </row>
    <row r="217">
      <c r="A217" s="13" t="n"/>
      <c r="B217" s="13" t="n"/>
      <c r="C217" s="13" t="n"/>
      <c r="D217" s="13" t="n"/>
      <c r="E217" s="13" t="n"/>
    </row>
    <row r="218">
      <c r="A218" s="13" t="n"/>
      <c r="B218" s="13" t="n"/>
      <c r="C218" s="13" t="n"/>
      <c r="D218" s="13" t="n"/>
      <c r="E218" s="13" t="n"/>
    </row>
    <row r="219">
      <c r="A219" s="13" t="n"/>
      <c r="B219" s="13" t="n"/>
      <c r="C219" s="13" t="n"/>
      <c r="D219" s="13" t="n"/>
      <c r="E219" s="13" t="n"/>
    </row>
    <row r="220">
      <c r="A220" s="13" t="n"/>
      <c r="B220" s="13" t="n"/>
      <c r="C220" s="13" t="n"/>
      <c r="D220" s="13" t="n"/>
      <c r="E220" s="13" t="n"/>
    </row>
    <row r="221">
      <c r="A221" s="13" t="n"/>
      <c r="B221" s="13" t="n"/>
      <c r="C221" s="13" t="n"/>
      <c r="D221" s="13" t="n"/>
      <c r="E221" s="13" t="n"/>
    </row>
    <row r="222">
      <c r="A222" s="13" t="n"/>
      <c r="B222" s="13" t="n"/>
      <c r="C222" s="13" t="n"/>
      <c r="D222" s="13" t="n"/>
      <c r="E222" s="13" t="n"/>
    </row>
    <row r="223">
      <c r="A223" s="13" t="n"/>
      <c r="B223" s="13" t="n"/>
      <c r="C223" s="13" t="n"/>
      <c r="D223" s="13" t="n"/>
      <c r="E223" s="13" t="n"/>
    </row>
    <row r="224">
      <c r="A224" s="13" t="n"/>
      <c r="B224" s="13" t="n"/>
      <c r="C224" s="13" t="n"/>
      <c r="D224" s="13" t="n"/>
      <c r="E224" s="13" t="n"/>
    </row>
    <row r="225">
      <c r="A225" s="13" t="n"/>
      <c r="B225" s="13" t="n"/>
      <c r="C225" s="13" t="n"/>
      <c r="D225" s="13" t="n"/>
      <c r="E225" s="13" t="n"/>
    </row>
    <row r="226">
      <c r="A226" s="13" t="n"/>
      <c r="B226" s="13" t="n"/>
      <c r="C226" s="13" t="n"/>
      <c r="D226" s="13" t="n"/>
      <c r="E226" s="13" t="n"/>
    </row>
    <row r="227">
      <c r="A227" s="13" t="n"/>
      <c r="B227" s="13" t="n"/>
      <c r="C227" s="13" t="n"/>
      <c r="D227" s="13" t="n"/>
      <c r="E227" s="13" t="n"/>
    </row>
    <row r="228">
      <c r="A228" s="13" t="n"/>
      <c r="B228" s="13" t="n"/>
      <c r="C228" s="13" t="n"/>
      <c r="D228" s="13" t="n"/>
      <c r="E228" s="13" t="n"/>
    </row>
    <row r="229">
      <c r="A229" s="13" t="n"/>
      <c r="B229" s="13" t="n"/>
      <c r="C229" s="13" t="n"/>
      <c r="D229" s="13" t="n"/>
      <c r="E229" s="13" t="n"/>
    </row>
    <row r="230">
      <c r="A230" s="13" t="n"/>
      <c r="B230" s="13" t="n"/>
      <c r="C230" s="13" t="n"/>
      <c r="D230" s="13" t="n"/>
      <c r="E230" s="13" t="n"/>
    </row>
    <row r="231">
      <c r="A231" s="13" t="n"/>
      <c r="B231" s="13" t="n"/>
      <c r="C231" s="13" t="n"/>
      <c r="D231" s="13" t="n"/>
      <c r="E231" s="13" t="n"/>
    </row>
    <row r="232">
      <c r="A232" s="13" t="n"/>
      <c r="B232" s="13" t="n"/>
      <c r="C232" s="13" t="n"/>
      <c r="D232" s="13" t="n"/>
      <c r="E232" s="13" t="n"/>
    </row>
    <row r="233">
      <c r="A233" s="13" t="n"/>
      <c r="B233" s="13" t="n"/>
      <c r="C233" s="13" t="n"/>
      <c r="D233" s="13" t="n"/>
      <c r="E233" s="13" t="n"/>
    </row>
    <row r="234">
      <c r="A234" s="13" t="n"/>
      <c r="B234" s="13" t="n"/>
      <c r="C234" s="13" t="n"/>
      <c r="D234" s="13" t="n"/>
      <c r="E234" s="13" t="n"/>
    </row>
    <row r="235">
      <c r="A235" s="13" t="n"/>
      <c r="B235" s="13" t="n"/>
      <c r="C235" s="13" t="n"/>
      <c r="D235" s="13" t="n"/>
      <c r="E235" s="13" t="n"/>
    </row>
    <row r="236">
      <c r="A236" s="13" t="n"/>
      <c r="B236" s="13" t="n"/>
      <c r="C236" s="13" t="n"/>
      <c r="D236" s="13" t="n"/>
      <c r="E236" s="13" t="n"/>
    </row>
    <row r="237">
      <c r="A237" s="13" t="n"/>
      <c r="B237" s="13" t="n"/>
      <c r="C237" s="13" t="n"/>
      <c r="D237" s="13" t="n"/>
      <c r="E237" s="13" t="n"/>
    </row>
    <row r="238">
      <c r="A238" s="13" t="n"/>
      <c r="B238" s="13" t="n"/>
      <c r="C238" s="13" t="n"/>
      <c r="D238" s="13" t="n"/>
      <c r="E238" s="13" t="n"/>
    </row>
    <row r="239">
      <c r="A239" s="13" t="n"/>
      <c r="B239" s="13" t="n"/>
      <c r="C239" s="13" t="n"/>
      <c r="D239" s="13" t="n"/>
      <c r="E239" s="13" t="n"/>
    </row>
    <row r="240">
      <c r="A240" s="13" t="n"/>
      <c r="B240" s="13" t="n"/>
      <c r="C240" s="13" t="n"/>
      <c r="D240" s="13" t="n"/>
      <c r="E240" s="13" t="n"/>
    </row>
    <row r="241">
      <c r="A241" s="13" t="n"/>
      <c r="B241" s="13" t="n"/>
      <c r="C241" s="13" t="n"/>
      <c r="D241" s="13" t="n"/>
      <c r="E241" s="13" t="n"/>
    </row>
    <row r="242">
      <c r="A242" s="13" t="n"/>
      <c r="B242" s="13" t="n"/>
      <c r="C242" s="13" t="n"/>
      <c r="D242" s="13" t="n"/>
      <c r="E242" s="13" t="n"/>
    </row>
    <row r="243">
      <c r="A243" s="13" t="n"/>
      <c r="B243" s="13" t="n"/>
      <c r="C243" s="13" t="n"/>
      <c r="D243" s="13" t="n"/>
      <c r="E243" s="13" t="n"/>
    </row>
    <row r="244">
      <c r="A244" s="13" t="n"/>
      <c r="B244" s="13" t="n"/>
      <c r="C244" s="13" t="n"/>
      <c r="D244" s="13" t="n"/>
      <c r="E244" s="13" t="n"/>
    </row>
    <row r="245">
      <c r="A245" s="13" t="n"/>
      <c r="B245" s="13" t="n"/>
      <c r="C245" s="13" t="n"/>
      <c r="D245" s="13" t="n"/>
      <c r="E245" s="13" t="n"/>
    </row>
    <row r="246">
      <c r="A246" s="13" t="n"/>
      <c r="B246" s="13" t="n"/>
      <c r="C246" s="13" t="n"/>
      <c r="D246" s="13" t="n"/>
      <c r="E246" s="13" t="n"/>
    </row>
    <row r="247">
      <c r="A247" s="13" t="n"/>
      <c r="B247" s="13" t="n"/>
      <c r="C247" s="13" t="n"/>
      <c r="D247" s="13" t="n"/>
      <c r="E247" s="13" t="n"/>
    </row>
    <row r="248">
      <c r="A248" s="13" t="n"/>
      <c r="B248" s="13" t="n"/>
      <c r="C248" s="13" t="n"/>
      <c r="D248" s="13" t="n"/>
      <c r="E248" s="13" t="n"/>
    </row>
    <row r="249">
      <c r="A249" s="13" t="n"/>
      <c r="B249" s="13" t="n"/>
      <c r="C249" s="13" t="n"/>
      <c r="D249" s="13" t="n"/>
      <c r="E249" s="13" t="n"/>
    </row>
    <row r="250">
      <c r="A250" s="13" t="n"/>
      <c r="B250" s="13" t="n"/>
      <c r="C250" s="13" t="n"/>
      <c r="D250" s="13" t="n"/>
      <c r="E250" s="13" t="n"/>
    </row>
    <row r="251">
      <c r="A251" s="13" t="n"/>
      <c r="B251" s="13" t="n"/>
      <c r="C251" s="13" t="n"/>
      <c r="D251" s="13" t="n"/>
      <c r="E251" s="13" t="n"/>
    </row>
    <row r="252">
      <c r="A252" s="13" t="n"/>
      <c r="B252" s="13" t="n"/>
      <c r="C252" s="13" t="n"/>
      <c r="D252" s="13" t="n"/>
      <c r="E252" s="13" t="n"/>
    </row>
    <row r="253">
      <c r="A253" s="13" t="n"/>
      <c r="B253" s="13" t="n"/>
      <c r="C253" s="13" t="n"/>
      <c r="D253" s="13" t="n"/>
      <c r="E253" s="13" t="n"/>
    </row>
    <row r="254">
      <c r="A254" s="13" t="n"/>
      <c r="B254" s="13" t="n"/>
      <c r="C254" s="13" t="n"/>
      <c r="D254" s="13" t="n"/>
      <c r="E254" s="13" t="n"/>
    </row>
    <row r="255">
      <c r="A255" s="13" t="n"/>
      <c r="B255" s="13" t="n"/>
      <c r="C255" s="13" t="n"/>
      <c r="D255" s="13" t="n"/>
      <c r="E255" s="13" t="n"/>
    </row>
    <row r="256">
      <c r="A256" s="13" t="n"/>
      <c r="B256" s="13" t="n"/>
      <c r="C256" s="13" t="n"/>
      <c r="D256" s="13" t="n"/>
      <c r="E256" s="13" t="n"/>
    </row>
    <row r="257">
      <c r="A257" s="13" t="n"/>
      <c r="B257" s="13" t="n"/>
      <c r="C257" s="13" t="n"/>
      <c r="D257" s="13" t="n"/>
      <c r="E257" s="13" t="n"/>
    </row>
    <row r="258">
      <c r="A258" s="13" t="n"/>
      <c r="B258" s="13" t="n"/>
      <c r="C258" s="13" t="n"/>
      <c r="D258" s="13" t="n"/>
      <c r="E258" s="13" t="n"/>
    </row>
    <row r="259">
      <c r="A259" s="13" t="n"/>
      <c r="B259" s="13" t="n"/>
      <c r="C259" s="13" t="n"/>
      <c r="D259" s="13" t="n"/>
      <c r="E259" s="13" t="n"/>
    </row>
    <row r="260">
      <c r="A260" s="13" t="n"/>
      <c r="B260" s="13" t="n"/>
      <c r="C260" s="13" t="n"/>
      <c r="D260" s="13" t="n"/>
      <c r="E260" s="13" t="n"/>
    </row>
    <row r="261">
      <c r="A261" s="13" t="n"/>
      <c r="B261" s="13" t="n"/>
      <c r="C261" s="13" t="n"/>
      <c r="D261" s="13" t="n"/>
      <c r="E261" s="13" t="n"/>
    </row>
  </sheetData>
  <dataValidations count="2">
    <dataValidation sqref="A2:A2000" showDropDown="0" showInputMessage="0" showErrorMessage="1" allowBlank="1" errorTitle="Valor no válido" error="Elige un valor de la lista (hoja catalogos)." type="list">
      <formula1>kb_minuta!$A$2:$A$2000</formula1>
    </dataValidation>
    <dataValidation sqref="B2:B2000" showDropDown="0" showInputMessage="0" showErrorMessage="1" allowBlank="1" errorTitle="Valor no válido" error="Elige un valor de la lista (hoja catalogos)." type="list">
      <formula1>catalogos!$N$2:$N$17</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5" customWidth="1" min="2" max="2"/>
    <col width="32" customWidth="1" min="3" max="3"/>
    <col width="42" customWidth="1" min="4" max="4"/>
    <col width="40" customWidth="1" min="5" max="5"/>
    <col width="42" customWidth="1" min="6" max="6"/>
    <col width="60" customWidth="1" min="7" max="7"/>
    <col width="11" customWidth="1" min="8" max="8"/>
    <col width="9" customWidth="1" min="9" max="9"/>
    <col width="16" customWidth="1" min="10" max="10"/>
    <col width="42" customWidth="1" min="11" max="11"/>
    <col width="7" customWidth="1" min="12" max="12"/>
    <col width="11" customWidth="1" min="13" max="13"/>
    <col width="11" customWidth="1" min="14" max="14"/>
    <col width="12" customWidth="1" min="15" max="15"/>
  </cols>
  <sheetData>
    <row r="1" ht="34" customHeight="1">
      <c r="A1" s="9" t="inlineStr">
        <is>
          <t>regla_id</t>
        </is>
      </c>
      <c r="B1" s="9" t="inlineStr">
        <is>
          <t>categoria</t>
        </is>
      </c>
      <c r="C1" s="9" t="inlineStr">
        <is>
          <t>nombre</t>
        </is>
      </c>
      <c r="D1" s="9" t="inlineStr">
        <is>
          <t>disparador</t>
        </is>
      </c>
      <c r="E1" s="9" t="inlineStr">
        <is>
          <t>condicion_json</t>
        </is>
      </c>
      <c r="F1" s="9" t="inlineStr">
        <is>
          <t>hallazgo_as_is</t>
        </is>
      </c>
      <c r="G1" s="9" t="inlineStr">
        <is>
          <t>recomendacion_to_be</t>
        </is>
      </c>
      <c r="H1" s="9" t="inlineStr">
        <is>
          <t>responsable</t>
        </is>
      </c>
      <c r="I1" s="9" t="inlineStr">
        <is>
          <t>prioridad</t>
        </is>
      </c>
      <c r="J1" s="9" t="inlineStr">
        <is>
          <t>equipo_id</t>
        </is>
      </c>
      <c r="K1" s="9" t="inlineStr">
        <is>
          <t>fuente</t>
        </is>
      </c>
      <c r="L1" s="9" t="inlineStr">
        <is>
          <t>activa</t>
        </is>
      </c>
      <c r="M1" s="9" t="inlineStr">
        <is>
          <t>veces_en_minutas</t>
        </is>
      </c>
      <c r="N1" s="9" t="inlineStr">
        <is>
          <t>minutas_distintas</t>
        </is>
      </c>
      <c r="O1" s="9" t="inlineStr">
        <is>
          <t>veces_como_hallazgo</t>
        </is>
      </c>
    </row>
    <row r="2">
      <c r="A2" s="10" t="inlineStr">
        <is>
          <t>R01</t>
        </is>
      </c>
      <c r="B2" s="10" t="inlineStr">
        <is>
          <t>Internet</t>
        </is>
      </c>
      <c r="C2" s="10" t="inlineStr">
        <is>
          <t>Internet de respaldo 4G</t>
        </is>
      </c>
      <c r="D2" s="10" t="inlineStr">
        <is>
          <t>P16 = No (sin línea de respaldo) o P17 = Sí (hubo caídas)</t>
        </is>
      </c>
      <c r="E2" s="10" t="inlineStr">
        <is>
          <t>{"or":[{"eq":["$P16","NO"]},{"eq":["$P17","SI"]}]}</t>
        </is>
      </c>
      <c r="F2" s="10" t="inlineStr">
        <is>
          <t>El negocio depende de un solo enlace de internet.</t>
        </is>
      </c>
      <c r="G2" s="10" t="inlineStr">
        <is>
          <t>Instalar un router 4G con chip de datos exclusivo como respaldo para POS e impresoras ante caídas del enlace principal.</t>
        </is>
      </c>
      <c r="H2" s="10" t="inlineStr">
        <is>
          <t>Cliente</t>
        </is>
      </c>
      <c r="I2" s="10" t="inlineStr">
        <is>
          <t>Media</t>
        </is>
      </c>
      <c r="J2" s="10" t="inlineStr">
        <is>
          <t>EQ-ROUTER-4G</t>
        </is>
      </c>
      <c r="K2" s="10" t="inlineStr">
        <is>
          <t>Minutas Sicilia y Don Oscar; motor actual (redundancia)</t>
        </is>
      </c>
      <c r="L2" s="10" t="inlineStr">
        <is>
          <t>NO (unificada en R56)</t>
        </is>
      </c>
      <c r="M2" s="12">
        <f>IF(A2="","",COUNTIF(kb_minuta_recomendacion!$D$2:$D$2000,A2))</f>
        <v/>
      </c>
      <c r="N2" s="12">
        <f>IF(A2="","",SUMPRODUCT((kb_minuta_recomendacion!$D$2:$D$2000=A2)/COUNTIFS(kb_minuta_recomendacion!$D$2:$D$2000,kb_minuta_recomendacion!$D$2:$D$2000&amp;"",kb_minuta_recomendacion!$A$2:$A$2000,kb_minuta_recomendacion!$A$2:$A$2000&amp;"")))</f>
        <v/>
      </c>
      <c r="O2" s="12">
        <f>IF(A2="","",COUNTIF(kb_minuta_hallazgo!$F$2:$F$2000,A2))</f>
        <v/>
      </c>
    </row>
    <row r="3">
      <c r="A3" s="10" t="inlineStr">
        <is>
          <t>R02</t>
        </is>
      </c>
      <c r="B3" s="10" t="inlineStr">
        <is>
          <t>Impresión</t>
        </is>
      </c>
      <c r="C3" s="10" t="inlineStr">
        <is>
          <t>Raspberry para el controlador de impresiones</t>
        </is>
      </c>
      <c r="D3" s="10" t="inlineStr">
        <is>
          <t>Hay áreas de preparación (deducido de P11/P25), P22 = No, No sé u Otro y la impresora de caja no es USB (deducido de P27 + P30)</t>
        </is>
      </c>
      <c r="E3" s="10" t="inlineStr">
        <is>
          <t>{"and":[{"eq":["$derived.necesitaComandas",true]},{"in":["$P22",["NO","NO_SE","OTRO"]]},{"ne":["$derived.conexionImpresoraCaja","USB"]}]}</t>
        </is>
      </c>
      <c r="F3" s="10" t="inlineStr">
        <is>
          <t>El negocio necesita comandas, no hay PC ni laptop y las impresoras son de red.</t>
        </is>
      </c>
      <c r="G3" s="10" t="inlineStr">
        <is>
          <t>Recomendar un kit Raspberry para instalar el controlador (sistema de impresiones). Solo trabaja con impresoras de red: no sirve si la impresora de caja es USB. El kit se cotiza con el equipo de Desarrollo de Negocios.</t>
        </is>
      </c>
      <c r="H3" s="10" t="inlineStr">
        <is>
          <t>Cliente</t>
        </is>
      </c>
      <c r="I3" s="10" t="inlineStr">
        <is>
          <t>Alta</t>
        </is>
      </c>
      <c r="J3" s="10" t="inlineStr">
        <is>
          <t>EQ-RASPBERRY</t>
        </is>
      </c>
      <c r="K3" s="10" t="inlineStr">
        <is>
          <t>Regla de negocio IDPos (2026-10-06); flujo (P22); minutas Sicilia, Barrio Pesquero y Gelato Alore</t>
        </is>
      </c>
      <c r="L3" s="10" t="inlineStr">
        <is>
          <t>SI</t>
        </is>
      </c>
      <c r="M3" s="12">
        <f>IF(A3="","",COUNTIF(kb_minuta_recomendacion!$D$2:$D$2000,A3))</f>
        <v/>
      </c>
      <c r="N3" s="12">
        <f>IF(A3="","",SUMPRODUCT((kb_minuta_recomendacion!$D$2:$D$2000=A3)/COUNTIFS(kb_minuta_recomendacion!$D$2:$D$2000,kb_minuta_recomendacion!$D$2:$D$2000&amp;"",kb_minuta_recomendacion!$A$2:$A$2000,kb_minuta_recomendacion!$A$2:$A$2000&amp;"")))</f>
        <v/>
      </c>
      <c r="O3" s="12">
        <f>IF(A3="","",COUNTIF(kb_minuta_hallazgo!$F$2:$F$2000,A3))</f>
        <v/>
      </c>
    </row>
    <row r="4">
      <c r="A4" s="10" t="inlineStr">
        <is>
          <t>R03</t>
        </is>
      </c>
      <c r="B4" s="10" t="inlineStr">
        <is>
          <t>Energía</t>
        </is>
      </c>
      <c r="C4" s="10" t="inlineStr">
        <is>
          <t>Toma independiente para equipos de red</t>
        </is>
      </c>
      <c r="D4" s="10" t="inlineStr">
        <is>
          <t>P34 = Sí (comparten toma) o P36 = Sí (extensiones)</t>
        </is>
      </c>
      <c r="E4" s="10" t="inlineStr">
        <is>
          <t>{"or":[{"eq":["$P34","SI"]},{"eq":["$P36","SI"]}]}</t>
        </is>
      </c>
      <c r="F4" s="10" t="inlineStr">
        <is>
          <t>Los equipos de red comparten toma con otros equipos (riesgo de desconexión, p. ej. al conectar una licuadora).</t>
        </is>
      </c>
      <c r="G4" s="10" t="inlineStr">
        <is>
          <t>Habilitar una toma independiente para los equipos de red y un supresor de picos exclusivo para ellos.</t>
        </is>
      </c>
      <c r="H4" s="10" t="inlineStr">
        <is>
          <t>Cliente</t>
        </is>
      </c>
      <c r="I4" s="10" t="inlineStr">
        <is>
          <t>Alta</t>
        </is>
      </c>
      <c r="J4" s="10" t="inlineStr">
        <is>
          <t>EQ-SUPRESOR</t>
        </is>
      </c>
      <c r="K4" s="10" t="inlineStr">
        <is>
          <t>Minutas Sicilia y Don Oscar</t>
        </is>
      </c>
      <c r="L4" s="10" t="inlineStr">
        <is>
          <t>SI</t>
        </is>
      </c>
      <c r="M4" s="12">
        <f>IF(A4="","",COUNTIF(kb_minuta_recomendacion!$D$2:$D$2000,A4))</f>
        <v/>
      </c>
      <c r="N4" s="12">
        <f>IF(A4="","",SUMPRODUCT((kb_minuta_recomendacion!$D$2:$D$2000=A4)/COUNTIFS(kb_minuta_recomendacion!$D$2:$D$2000,kb_minuta_recomendacion!$D$2:$D$2000&amp;"",kb_minuta_recomendacion!$A$2:$A$2000,kb_minuta_recomendacion!$A$2:$A$2000&amp;"")))</f>
        <v/>
      </c>
      <c r="O4" s="12">
        <f>IF(A4="","",COUNTIF(kb_minuta_hallazgo!$F$2:$F$2000,A4))</f>
        <v/>
      </c>
    </row>
    <row r="5">
      <c r="A5" s="10" t="inlineStr">
        <is>
          <t>R04</t>
        </is>
      </c>
      <c r="B5" s="10" t="inlineStr">
        <is>
          <t>Energía</t>
        </is>
      </c>
      <c r="C5" s="10" t="inlineStr">
        <is>
          <t>UPS para router e impresoras</t>
        </is>
      </c>
      <c r="D5" s="10" t="inlineStr">
        <is>
          <t>P35 = No</t>
        </is>
      </c>
      <c r="E5" s="10" t="inlineStr">
        <is>
          <t>{"eq":["$P35","NO"]}</t>
        </is>
      </c>
      <c r="F5" s="10" t="inlineStr">
        <is>
          <t>No hay energía de respaldo.</t>
        </is>
      </c>
      <c r="G5" s="10" t="inlineStr">
        <is>
          <t>Recomendar UPS para router e impresoras.</t>
        </is>
      </c>
      <c r="H5" s="10" t="inlineStr">
        <is>
          <t>Cliente</t>
        </is>
      </c>
      <c r="I5" s="10" t="inlineStr">
        <is>
          <t>Media</t>
        </is>
      </c>
      <c r="J5" s="10" t="inlineStr">
        <is>
          <t>EQ-UPS</t>
        </is>
      </c>
      <c r="K5" s="10" t="inlineStr">
        <is>
          <t>Flujo (P35); minuta Rock &amp; Burgers</t>
        </is>
      </c>
      <c r="L5" s="10" t="inlineStr">
        <is>
          <t>SI</t>
        </is>
      </c>
      <c r="M5" s="12">
        <f>IF(A5="","",COUNTIF(kb_minuta_recomendacion!$D$2:$D$2000,A5))</f>
        <v/>
      </c>
      <c r="N5" s="12">
        <f>IF(A5="","",SUMPRODUCT((kb_minuta_recomendacion!$D$2:$D$2000=A5)/COUNTIFS(kb_minuta_recomendacion!$D$2:$D$2000,kb_minuta_recomendacion!$D$2:$D$2000&amp;"",kb_minuta_recomendacion!$A$2:$A$2000,kb_minuta_recomendacion!$A$2:$A$2000&amp;"")))</f>
        <v/>
      </c>
      <c r="O5" s="12">
        <f>IF(A5="","",COUNTIF(kb_minuta_hallazgo!$F$2:$F$2000,A5))</f>
        <v/>
      </c>
    </row>
    <row r="6">
      <c r="A6" s="10" t="inlineStr">
        <is>
          <t>R05</t>
        </is>
      </c>
      <c r="B6" s="10" t="inlineStr">
        <is>
          <t>Cableado</t>
        </is>
      </c>
      <c r="C6" s="10" t="inlineStr">
        <is>
          <t>Switch para ampliar un punto de red</t>
        </is>
      </c>
      <c r="D6" s="10" t="inlineStr">
        <is>
          <t>P38 = No (áreas sin punto de red) o varios equipos de un área dependen de un solo punto</t>
        </is>
      </c>
      <c r="E6" s="10" t="inlineStr">
        <is>
          <t>{"eq":["$P38","NO"]}</t>
        </is>
      </c>
      <c r="F6" s="10" t="inlineStr">
        <is>
          <t>Un área necesita más puntos de red de los que tiene.</t>
        </is>
      </c>
      <c r="G6" s="10" t="inlineStr">
        <is>
          <t>Instalar un switch de 4 a 8 puertos en el área para repartir la conexión (impresora, repetidor, caja).</t>
        </is>
      </c>
      <c r="H6" s="10" t="inlineStr">
        <is>
          <t>Cliente</t>
        </is>
      </c>
      <c r="I6" s="10" t="inlineStr">
        <is>
          <t>Media</t>
        </is>
      </c>
      <c r="J6" s="10" t="inlineStr">
        <is>
          <t>EQ-SWITCH-NM</t>
        </is>
      </c>
      <c r="K6" s="10" t="inlineStr">
        <is>
          <t>Minutas Sicilia (terraza) y Barrio Pesquero (barra)</t>
        </is>
      </c>
      <c r="L6" s="10" t="inlineStr">
        <is>
          <t>SI</t>
        </is>
      </c>
      <c r="M6" s="12">
        <f>IF(A6="","",COUNTIF(kb_minuta_recomendacion!$D$2:$D$2000,A6))</f>
        <v/>
      </c>
      <c r="N6" s="12">
        <f>IF(A6="","",SUMPRODUCT((kb_minuta_recomendacion!$D$2:$D$2000=A6)/COUNTIFS(kb_minuta_recomendacion!$D$2:$D$2000,kb_minuta_recomendacion!$D$2:$D$2000&amp;"",kb_minuta_recomendacion!$A$2:$A$2000,kb_minuta_recomendacion!$A$2:$A$2000&amp;"")))</f>
        <v/>
      </c>
      <c r="O6" s="12">
        <f>IF(A6="","",COUNTIF(kb_minuta_hallazgo!$F$2:$F$2000,A6))</f>
        <v/>
      </c>
    </row>
    <row r="7">
      <c r="A7" s="10" t="inlineStr">
        <is>
          <t>R06</t>
        </is>
      </c>
      <c r="B7" s="10" t="inlineStr">
        <is>
          <t>Cableado</t>
        </is>
      </c>
      <c r="C7" s="10" t="inlineStr">
        <is>
          <t>Punto de red cerca de la impresora</t>
        </is>
      </c>
      <c r="D7" s="10" t="inlineStr">
        <is>
          <t>U1 = No para una impresora (no hay punto de red cerca)</t>
        </is>
      </c>
      <c r="E7" s="10" t="inlineStr">
        <is>
          <t>{"and":[{"eq":["$U1","NO"]},{"contains":["$ctx.equipo","Impresora"]}]}</t>
        </is>
      </c>
      <c r="F7" s="10" t="inlineStr">
        <is>
          <t>La impresora está lejos del punto de red.</t>
        </is>
      </c>
      <c r="G7" s="10" t="inlineStr">
        <is>
          <t>Instalar un punto de red cerca de la impresora antes de la siguiente visita.</t>
        </is>
      </c>
      <c r="H7" s="10" t="inlineStr">
        <is>
          <t>Cliente</t>
        </is>
      </c>
      <c r="I7" s="10" t="inlineStr">
        <is>
          <t>Alta</t>
        </is>
      </c>
      <c r="J7" s="10" t="inlineStr"/>
      <c r="K7" s="10" t="inlineStr">
        <is>
          <t>Flujo (subflujo U); minuta Sicilia (cocina)</t>
        </is>
      </c>
      <c r="L7" s="10" t="inlineStr">
        <is>
          <t>SI</t>
        </is>
      </c>
      <c r="M7" s="12">
        <f>IF(A7="","",COUNTIF(kb_minuta_recomendacion!$D$2:$D$2000,A7))</f>
        <v/>
      </c>
      <c r="N7" s="12">
        <f>IF(A7="","",SUMPRODUCT((kb_minuta_recomendacion!$D$2:$D$2000=A7)/COUNTIFS(kb_minuta_recomendacion!$D$2:$D$2000,kb_minuta_recomendacion!$D$2:$D$2000&amp;"",kb_minuta_recomendacion!$A$2:$A$2000,kb_minuta_recomendacion!$A$2:$A$2000&amp;"")))</f>
        <v/>
      </c>
      <c r="O7" s="12">
        <f>IF(A7="","",COUNTIF(kb_minuta_hallazgo!$F$2:$F$2000,A7))</f>
        <v/>
      </c>
    </row>
    <row r="8">
      <c r="A8" s="10" t="inlineStr">
        <is>
          <t>R07</t>
        </is>
      </c>
      <c r="B8" s="10" t="inlineStr">
        <is>
          <t>Infraestructura</t>
        </is>
      </c>
      <c r="C8" s="10" t="inlineStr">
        <is>
          <t>Gabinete de pared</t>
        </is>
      </c>
      <c r="D8" s="10" t="inlineStr">
        <is>
          <t>P40 = No hay o Desordenado</t>
        </is>
      </c>
      <c r="E8" s="10" t="inlineStr">
        <is>
          <t>{"in":["$P40",["NO_HAY","DESORDENADO"]]}</t>
        </is>
      </c>
      <c r="F8" s="10" t="inlineStr">
        <is>
          <t>Los equipos de red no están en un gabinete ordenado.</t>
        </is>
      </c>
      <c r="G8" s="10" t="inlineStr">
        <is>
          <t>Adquirir un gabinete de pared de 4 RU, instalarlo a 1.65 m del piso y usar un supresor que solo alimente los equipos del gabinete.</t>
        </is>
      </c>
      <c r="H8" s="10" t="inlineStr">
        <is>
          <t>Cliente</t>
        </is>
      </c>
      <c r="I8" s="10" t="inlineStr">
        <is>
          <t>Media</t>
        </is>
      </c>
      <c r="J8" s="10" t="inlineStr">
        <is>
          <t>EQ-GABINETE-4RU</t>
        </is>
      </c>
      <c r="K8" s="10" t="inlineStr">
        <is>
          <t>Minuta Don Oscar</t>
        </is>
      </c>
      <c r="L8" s="10" t="inlineStr">
        <is>
          <t>SI</t>
        </is>
      </c>
      <c r="M8" s="12">
        <f>IF(A8="","",COUNTIF(kb_minuta_recomendacion!$D$2:$D$2000,A8))</f>
        <v/>
      </c>
      <c r="N8" s="12">
        <f>IF(A8="","",SUMPRODUCT((kb_minuta_recomendacion!$D$2:$D$2000=A8)/COUNTIFS(kb_minuta_recomendacion!$D$2:$D$2000,kb_minuta_recomendacion!$D$2:$D$2000&amp;"",kb_minuta_recomendacion!$A$2:$A$2000,kb_minuta_recomendacion!$A$2:$A$2000&amp;"")))</f>
        <v/>
      </c>
      <c r="O8" s="12">
        <f>IF(A8="","",COUNTIF(kb_minuta_hallazgo!$F$2:$F$2000,A8))</f>
        <v/>
      </c>
    </row>
    <row r="9">
      <c r="A9" s="10" t="inlineStr">
        <is>
          <t>R08</t>
        </is>
      </c>
      <c r="B9" s="10" t="inlineStr">
        <is>
          <t>Infraestructura</t>
        </is>
      </c>
      <c r="C9" s="10" t="inlineStr">
        <is>
          <t>Separar cables eléctricos en el gabinete</t>
        </is>
      </c>
      <c r="D9" s="10" t="inlineStr">
        <is>
          <t>P40 = Desordenado o con cables</t>
        </is>
      </c>
      <c r="E9" s="10" t="inlineStr">
        <is>
          <t>{"eq":["$P40","DESORDENADO"]}</t>
        </is>
      </c>
      <c r="F9" s="10" t="inlineStr">
        <is>
          <t>Gabinete desorganizado con cable eléctrico libre.</t>
        </is>
      </c>
      <c r="G9" s="10" t="inlineStr">
        <is>
          <t>Ordenar el gabinete y mantener los cables eléctricos aislados de los de red.</t>
        </is>
      </c>
      <c r="H9" s="10" t="inlineStr">
        <is>
          <t>Cliente</t>
        </is>
      </c>
      <c r="I9" s="10" t="inlineStr">
        <is>
          <t>Media</t>
        </is>
      </c>
      <c r="J9" s="10" t="inlineStr"/>
      <c r="K9" s="10" t="inlineStr">
        <is>
          <t>Minuta Barrio Pesquero</t>
        </is>
      </c>
      <c r="L9" s="10" t="inlineStr">
        <is>
          <t>SI</t>
        </is>
      </c>
      <c r="M9" s="12">
        <f>IF(A9="","",COUNTIF(kb_minuta_recomendacion!$D$2:$D$2000,A9))</f>
        <v/>
      </c>
      <c r="N9" s="12">
        <f>IF(A9="","",SUMPRODUCT((kb_minuta_recomendacion!$D$2:$D$2000=A9)/COUNTIFS(kb_minuta_recomendacion!$D$2:$D$2000,kb_minuta_recomendacion!$D$2:$D$2000&amp;"",kb_minuta_recomendacion!$A$2:$A$2000,kb_minuta_recomendacion!$A$2:$A$2000&amp;"")))</f>
        <v/>
      </c>
      <c r="O9" s="12">
        <f>IF(A9="","",COUNTIF(kb_minuta_hallazgo!$F$2:$F$2000,A9))</f>
        <v/>
      </c>
    </row>
    <row r="10">
      <c r="A10" s="10" t="inlineStr">
        <is>
          <t>R09</t>
        </is>
      </c>
      <c r="B10" s="10" t="inlineStr">
        <is>
          <t>Cableado</t>
        </is>
      </c>
      <c r="C10" s="10" t="inlineStr">
        <is>
          <t>Cable Cat6 rotulado</t>
        </is>
      </c>
      <c r="D10" s="10" t="inlineStr">
        <is>
          <t>P39 = Interior Cat5e o No sé, o P41 = Sí (calor/grasa)</t>
        </is>
      </c>
      <c r="E10" s="10" t="inlineStr">
        <is>
          <t>{"or":[{"in":["$P39",["CAT5E_INT","NO_SE"]]},{"eq":["$P41","SI"]}]}</t>
        </is>
      </c>
      <c r="F10" s="10" t="inlineStr">
        <is>
          <t>Cableado antiguo o expuesto a calor.</t>
        </is>
      </c>
      <c r="G10" s="10" t="inlineStr">
        <is>
          <t>Cambiar los cables por Cat6 armados a medida y rotulados.</t>
        </is>
      </c>
      <c r="H10" s="10" t="inlineStr">
        <is>
          <t>ID</t>
        </is>
      </c>
      <c r="I10" s="10" t="inlineStr">
        <is>
          <t>Media</t>
        </is>
      </c>
      <c r="J10" s="10" t="inlineStr">
        <is>
          <t>EQ-CABLE-CAT6</t>
        </is>
      </c>
      <c r="K10" s="10" t="inlineStr">
        <is>
          <t>Minuta Don Oscar</t>
        </is>
      </c>
      <c r="L10" s="10" t="inlineStr">
        <is>
          <t>SI</t>
        </is>
      </c>
      <c r="M10" s="12">
        <f>IF(A10="","",COUNTIF(kb_minuta_recomendacion!$D$2:$D$2000,A10))</f>
        <v/>
      </c>
      <c r="N10" s="12">
        <f>IF(A10="","",SUMPRODUCT((kb_minuta_recomendacion!$D$2:$D$2000=A10)/COUNTIFS(kb_minuta_recomendacion!$D$2:$D$2000,kb_minuta_recomendacion!$D$2:$D$2000&amp;"",kb_minuta_recomendacion!$A$2:$A$2000,kb_minuta_recomendacion!$A$2:$A$2000&amp;"")))</f>
        <v/>
      </c>
      <c r="O10" s="12">
        <f>IF(A10="","",COUNTIF(kb_minuta_hallazgo!$F$2:$F$2000,A10))</f>
        <v/>
      </c>
    </row>
    <row r="11">
      <c r="A11" s="10" t="inlineStr">
        <is>
          <t>R10</t>
        </is>
      </c>
      <c r="B11" s="10" t="inlineStr">
        <is>
          <t>Infraestructura</t>
        </is>
      </c>
      <c r="C11" s="10" t="inlineStr">
        <is>
          <t>Proteger equipos de grasa y calor</t>
        </is>
      </c>
      <c r="D11" s="10" t="inlineStr">
        <is>
          <t>P41 = Sí</t>
        </is>
      </c>
      <c r="E11" s="10" t="inlineStr">
        <is>
          <t>{"eq":["$P41","SI"]}</t>
        </is>
      </c>
      <c r="F11" s="10" t="inlineStr">
        <is>
          <t>Equipos expuestos a calor o grasa.</t>
        </is>
      </c>
      <c r="G11" s="10" t="inlineStr">
        <is>
          <t>Hacer cambios para evitar la acumulación de grasa en los equipos (reubicar o proteger).</t>
        </is>
      </c>
      <c r="H11" s="10" t="inlineStr">
        <is>
          <t>Cliente</t>
        </is>
      </c>
      <c r="I11" s="10" t="inlineStr">
        <is>
          <t>Media</t>
        </is>
      </c>
      <c r="J11" s="10" t="inlineStr"/>
      <c r="K11" s="10" t="inlineStr">
        <is>
          <t>Minuta Don Oscar</t>
        </is>
      </c>
      <c r="L11" s="10" t="inlineStr">
        <is>
          <t>SI</t>
        </is>
      </c>
      <c r="M11" s="12">
        <f>IF(A11="","",COUNTIF(kb_minuta_recomendacion!$D$2:$D$2000,A11))</f>
        <v/>
      </c>
      <c r="N11" s="12">
        <f>IF(A11="","",SUMPRODUCT((kb_minuta_recomendacion!$D$2:$D$2000=A11)/COUNTIFS(kb_minuta_recomendacion!$D$2:$D$2000,kb_minuta_recomendacion!$D$2:$D$2000&amp;"",kb_minuta_recomendacion!$A$2:$A$2000,kb_minuta_recomendacion!$A$2:$A$2000&amp;"")))</f>
        <v/>
      </c>
      <c r="O11" s="12">
        <f>IF(A11="","",COUNTIF(kb_minuta_hallazgo!$F$2:$F$2000,A11))</f>
        <v/>
      </c>
    </row>
    <row r="12">
      <c r="A12" s="10" t="inlineStr">
        <is>
          <t>R11</t>
        </is>
      </c>
      <c r="B12" s="10" t="inlineStr">
        <is>
          <t>Cajas</t>
        </is>
      </c>
      <c r="C12" s="10" t="inlineStr">
        <is>
          <t>PC de caja por cable</t>
        </is>
      </c>
      <c r="D12" s="10" t="inlineStr">
        <is>
          <t>P23 = WiFi o el ipconfig (E4) muestra adaptador WiFi</t>
        </is>
      </c>
      <c r="E12" s="10" t="inlineStr">
        <is>
          <t>{"eq":["$P23","WIFI"]}</t>
        </is>
      </c>
      <c r="F12" s="10" t="inlineStr">
        <is>
          <t>La PC de caja está conectada por WiFi.</t>
        </is>
      </c>
      <c r="G12" s="10" t="inlineStr">
        <is>
          <t>Conectar la PC de caja al router o switch por cable Ethernet y reservar su IP en el DHCP.</t>
        </is>
      </c>
      <c r="H12" s="10" t="inlineStr">
        <is>
          <t>ID</t>
        </is>
      </c>
      <c r="I12" s="10" t="inlineStr">
        <is>
          <t>Alta</t>
        </is>
      </c>
      <c r="J12" s="10" t="inlineStr"/>
      <c r="K12" s="10" t="inlineStr">
        <is>
          <t>Minutas Barrio Pesquero y Rock &amp; Burgers; regla de validación V03</t>
        </is>
      </c>
      <c r="L12" s="10" t="inlineStr">
        <is>
          <t>SI</t>
        </is>
      </c>
      <c r="M12" s="12">
        <f>IF(A12="","",COUNTIF(kb_minuta_recomendacion!$D$2:$D$2000,A12))</f>
        <v/>
      </c>
      <c r="N12" s="12">
        <f>IF(A12="","",SUMPRODUCT((kb_minuta_recomendacion!$D$2:$D$2000=A12)/COUNTIFS(kb_minuta_recomendacion!$D$2:$D$2000,kb_minuta_recomendacion!$D$2:$D$2000&amp;"",kb_minuta_recomendacion!$A$2:$A$2000,kb_minuta_recomendacion!$A$2:$A$2000&amp;"")))</f>
        <v/>
      </c>
      <c r="O12" s="12">
        <f>IF(A12="","",COUNTIF(kb_minuta_hallazgo!$F$2:$F$2000,A12))</f>
        <v/>
      </c>
    </row>
    <row r="13">
      <c r="A13" s="10" t="inlineStr">
        <is>
          <t>R12</t>
        </is>
      </c>
      <c r="B13" s="10" t="inlineStr">
        <is>
          <t>Impresión</t>
        </is>
      </c>
      <c r="C13" s="10" t="inlineStr">
        <is>
          <t>Impresoras conectadas directo a la red principal</t>
        </is>
      </c>
      <c r="D13" s="10" t="inlineStr">
        <is>
          <t>El mapa o el escáner (E8) muestran impresoras detrás de un repetidor</t>
        </is>
      </c>
      <c r="E13" s="10" t="inlineStr">
        <is>
          <t>{"manual":"impresora conectada vía repetidor"}</t>
        </is>
      </c>
      <c r="F13" s="10" t="inlineStr">
        <is>
          <t>Las impresoras comparten la red de los repetidores, sin conexión directa al módem.</t>
        </is>
      </c>
      <c r="G13" s="10" t="inlineStr">
        <is>
          <t>Conectar las impresoras por cable al router o a un switch de la red principal, no a través de repetidores.</t>
        </is>
      </c>
      <c r="H13" s="10" t="inlineStr">
        <is>
          <t>ID</t>
        </is>
      </c>
      <c r="I13" s="10" t="inlineStr">
        <is>
          <t>Alta</t>
        </is>
      </c>
      <c r="J13" s="10" t="inlineStr">
        <is>
          <t>EQ-SWITCH-NM</t>
        </is>
      </c>
      <c r="K13" s="10" t="inlineStr">
        <is>
          <t>Minuta Barrio Pesquero</t>
        </is>
      </c>
      <c r="L13" s="10" t="inlineStr">
        <is>
          <t>SI</t>
        </is>
      </c>
      <c r="M13" s="12">
        <f>IF(A13="","",COUNTIF(kb_minuta_recomendacion!$D$2:$D$2000,A13))</f>
        <v/>
      </c>
      <c r="N13" s="12">
        <f>IF(A13="","",SUMPRODUCT((kb_minuta_recomendacion!$D$2:$D$2000=A13)/COUNTIFS(kb_minuta_recomendacion!$D$2:$D$2000,kb_minuta_recomendacion!$D$2:$D$2000&amp;"",kb_minuta_recomendacion!$A$2:$A$2000,kb_minuta_recomendacion!$A$2:$A$2000&amp;"")))</f>
        <v/>
      </c>
      <c r="O13" s="12">
        <f>IF(A13="","",COUNTIF(kb_minuta_hallazgo!$F$2:$F$2000,A13))</f>
        <v/>
      </c>
    </row>
    <row r="14">
      <c r="A14" s="10" t="inlineStr">
        <is>
          <t>R13</t>
        </is>
      </c>
      <c r="B14" s="10" t="inlineStr">
        <is>
          <t>Red</t>
        </is>
      </c>
      <c r="C14" s="10" t="inlineStr">
        <is>
          <t>Equipos sin documentar a red de invitados</t>
        </is>
      </c>
      <c r="D14" s="10" t="inlineStr">
        <is>
          <t>Regla V06 en OBSERVADO</t>
        </is>
      </c>
      <c r="E14" s="10" t="inlineStr">
        <is>
          <t>{"validacion":"V06","estado":"OBSERVADO"}</t>
        </is>
      </c>
      <c r="F14" s="10" t="inlineStr">
        <is>
          <t>Hay equipos en la red que no están documentados.</t>
        </is>
      </c>
      <c r="G14" s="10" t="inlineStr">
        <is>
          <t>Identificar los equipos sin documentar; si no son del negocio, moverlos a una red WiFi de invitados separada de la operativa.</t>
        </is>
      </c>
      <c r="H14" s="10" t="inlineStr">
        <is>
          <t>ID</t>
        </is>
      </c>
      <c r="I14" s="10" t="inlineStr">
        <is>
          <t>Media</t>
        </is>
      </c>
      <c r="J14" s="10" t="inlineStr"/>
      <c r="K14" s="10" t="inlineStr">
        <is>
          <t>Minuta generada Rock &amp; Burgers</t>
        </is>
      </c>
      <c r="L14" s="10" t="inlineStr">
        <is>
          <t>SI</t>
        </is>
      </c>
      <c r="M14" s="12">
        <f>IF(A14="","",COUNTIF(kb_minuta_recomendacion!$D$2:$D$2000,A14))</f>
        <v/>
      </c>
      <c r="N14" s="12">
        <f>IF(A14="","",SUMPRODUCT((kb_minuta_recomendacion!$D$2:$D$2000=A14)/COUNTIFS(kb_minuta_recomendacion!$D$2:$D$2000,kb_minuta_recomendacion!$D$2:$D$2000&amp;"",kb_minuta_recomendacion!$A$2:$A$2000,kb_minuta_recomendacion!$A$2:$A$2000&amp;"")))</f>
        <v/>
      </c>
      <c r="O14" s="12">
        <f>IF(A14="","",COUNTIF(kb_minuta_hallazgo!$F$2:$F$2000,A14))</f>
        <v/>
      </c>
    </row>
    <row r="15">
      <c r="A15" s="10" t="inlineStr">
        <is>
          <t>R14</t>
        </is>
      </c>
      <c r="B15" s="10" t="inlineStr">
        <is>
          <t>Internet</t>
        </is>
      </c>
      <c r="C15" s="10" t="inlineStr">
        <is>
          <t>Latencia alta en hora punta</t>
        </is>
      </c>
      <c r="D15" s="10" t="inlineStr">
        <is>
          <t>Regla V02 en OBSERVADO (latencia ≥ MAX_LATENCY_MS)</t>
        </is>
      </c>
      <c r="E15" s="10" t="inlineStr">
        <is>
          <t>{"validacion":"V02","estado":"OBSERVADO"}</t>
        </is>
      </c>
      <c r="F15" s="10" t="inlineStr">
        <is>
          <t>Latencia alta con la red en uso.</t>
        </is>
      </c>
      <c r="G15" s="10" t="inlineStr">
        <is>
          <t>Medir la latencia en hora punta; si se confirma, priorizar el tráfico del POS (QoS) o poner un router propio detrás del terminal del proveedor.</t>
        </is>
      </c>
      <c r="H15" s="10" t="inlineStr">
        <is>
          <t>ID</t>
        </is>
      </c>
      <c r="I15" s="10" t="inlineStr">
        <is>
          <t>Media</t>
        </is>
      </c>
      <c r="J15" s="10" t="inlineStr">
        <is>
          <t>EQ-ROUTER-EMP</t>
        </is>
      </c>
      <c r="K15" s="10" t="inlineStr">
        <is>
          <t>Minuta generada Rock &amp; Burgers</t>
        </is>
      </c>
      <c r="L15" s="10" t="inlineStr">
        <is>
          <t>SI</t>
        </is>
      </c>
      <c r="M15" s="12">
        <f>IF(A15="","",COUNTIF(kb_minuta_recomendacion!$D$2:$D$2000,A15))</f>
        <v/>
      </c>
      <c r="N15" s="12">
        <f>IF(A15="","",SUMPRODUCT((kb_minuta_recomendacion!$D$2:$D$2000=A15)/COUNTIFS(kb_minuta_recomendacion!$D$2:$D$2000,kb_minuta_recomendacion!$D$2:$D$2000&amp;"",kb_minuta_recomendacion!$A$2:$A$2000,kb_minuta_recomendacion!$A$2:$A$2000&amp;"")))</f>
        <v/>
      </c>
      <c r="O15" s="12">
        <f>IF(A15="","",COUNTIF(kb_minuta_hallazgo!$F$2:$F$2000,A15))</f>
        <v/>
      </c>
    </row>
    <row r="16">
      <c r="A16" s="10" t="inlineStr">
        <is>
          <t>R15</t>
        </is>
      </c>
      <c r="B16" s="10" t="inlineStr">
        <is>
          <t>Seguridad</t>
        </is>
      </c>
      <c r="C16" s="10" t="inlineStr">
        <is>
          <t>Cambiar contraseña de gestión del router</t>
        </is>
      </c>
      <c r="D16" s="10" t="inlineStr">
        <is>
          <t>Hay foto de la etiqueta del router (E3)</t>
        </is>
      </c>
      <c r="E16" s="10" t="inlineStr">
        <is>
          <t>{"evidencia":"E3"}</t>
        </is>
      </c>
      <c r="F16" s="10" t="inlineStr">
        <is>
          <t>La contraseña de gestión podría ser la de fábrica impresa en la etiqueta.</t>
        </is>
      </c>
      <c r="G16" s="10" t="inlineStr">
        <is>
          <t>Cambiar la contraseña de gestión del router si es la de fábrica.</t>
        </is>
      </c>
      <c r="H16" s="10" t="inlineStr">
        <is>
          <t>ID</t>
        </is>
      </c>
      <c r="I16" s="10" t="inlineStr">
        <is>
          <t>Media</t>
        </is>
      </c>
      <c r="J16" s="10" t="inlineStr"/>
      <c r="K16" s="10" t="inlineStr">
        <is>
          <t>Minuta generada Rock &amp; Burgers</t>
        </is>
      </c>
      <c r="L16" s="10" t="inlineStr">
        <is>
          <t>SI</t>
        </is>
      </c>
      <c r="M16" s="12">
        <f>IF(A16="","",COUNTIF(kb_minuta_recomendacion!$D$2:$D$2000,A16))</f>
        <v/>
      </c>
      <c r="N16" s="12">
        <f>IF(A16="","",SUMPRODUCT((kb_minuta_recomendacion!$D$2:$D$2000=A16)/COUNTIFS(kb_minuta_recomendacion!$D$2:$D$2000,kb_minuta_recomendacion!$D$2:$D$2000&amp;"",kb_minuta_recomendacion!$A$2:$A$2000,kb_minuta_recomendacion!$A$2:$A$2000&amp;"")))</f>
        <v/>
      </c>
      <c r="O16" s="12">
        <f>IF(A16="","",COUNTIF(kb_minuta_hallazgo!$F$2:$F$2000,A16))</f>
        <v/>
      </c>
    </row>
    <row r="17">
      <c r="A17" s="10" t="inlineStr">
        <is>
          <t>R16</t>
        </is>
      </c>
      <c r="B17" s="10" t="inlineStr">
        <is>
          <t>Impresión</t>
        </is>
      </c>
      <c r="C17" s="10" t="inlineStr">
        <is>
          <t>Impresora USB conectada al equipo con controlador</t>
        </is>
      </c>
      <c r="D17" s="10" t="inlineStr">
        <is>
          <t>P30 = USB y necesita comandas (deducido)</t>
        </is>
      </c>
      <c r="E17" s="10" t="inlineStr">
        <is>
          <t>{"and":[{"eq":["$P30","USB"]},{"eq":["$derived.necesitaComandas",true]}]}</t>
        </is>
      </c>
      <c r="F17" s="10" t="inlineStr">
        <is>
          <t>La impresora es USB: solo funciona conectada a una laptop o PC, e imprime mientras ese equipo esté encendido.</t>
        </is>
      </c>
      <c r="G17" s="10" t="inlineStr">
        <is>
          <t>Conectar la impresora USB a la laptop o PC que tiene el controlador de impresiones; así imprime comandas, pre-cuentas y comprobantes. Una impresora USB no funciona con Raspberry. Pasarla a red solo si debe imprimir sin depender de la PC.</t>
        </is>
      </c>
      <c r="H17" s="10" t="inlineStr">
        <is>
          <t>ID</t>
        </is>
      </c>
      <c r="I17" s="10" t="inlineStr">
        <is>
          <t>Media</t>
        </is>
      </c>
      <c r="J17" s="10" t="inlineStr"/>
      <c r="K17" s="10" t="inlineStr">
        <is>
          <t>Regla de negocio IDPos (2026-10-06); minutas Rock &amp; Burgers, RKT Banchero y Villa Flores; validación V08</t>
        </is>
      </c>
      <c r="L17" s="10" t="inlineStr">
        <is>
          <t>SI</t>
        </is>
      </c>
      <c r="M17" s="12">
        <f>IF(A17="","",COUNTIF(kb_minuta_recomendacion!$D$2:$D$2000,A17))</f>
        <v/>
      </c>
      <c r="N17" s="12">
        <f>IF(A17="","",SUMPRODUCT((kb_minuta_recomendacion!$D$2:$D$2000=A17)/COUNTIFS(kb_minuta_recomendacion!$D$2:$D$2000,kb_minuta_recomendacion!$D$2:$D$2000&amp;"",kb_minuta_recomendacion!$A$2:$A$2000,kb_minuta_recomendacion!$A$2:$A$2000&amp;"")))</f>
        <v/>
      </c>
      <c r="O17" s="12">
        <f>IF(A17="","",COUNTIF(kb_minuta_hallazgo!$F$2:$F$2000,A17))</f>
        <v/>
      </c>
    </row>
    <row r="18">
      <c r="A18" s="10" t="inlineStr">
        <is>
          <t>R17</t>
        </is>
      </c>
      <c r="B18" s="10" t="inlineStr">
        <is>
          <t>Internet</t>
        </is>
      </c>
      <c r="C18" s="10" t="inlineStr">
        <is>
          <t>Plan de internet bajo</t>
        </is>
      </c>
      <c r="D18" s="10" t="inlineStr">
        <is>
          <t>P15 &lt; 100 Mbps o velocidad medida &lt; MIN_SPEED_MBPS</t>
        </is>
      </c>
      <c r="E18" s="10" t="inlineStr">
        <is>
          <t>{"lt":["$P15",100]}</t>
        </is>
      </c>
      <c r="F18" s="10" t="inlineStr">
        <is>
          <t>La velocidad contratada es baja para POS y WiFi.</t>
        </is>
      </c>
      <c r="G18" s="10" t="inlineStr">
        <is>
          <t>Evaluar un plan de mayor ancho de banda.</t>
        </is>
      </c>
      <c r="H18" s="10" t="inlineStr">
        <is>
          <t>Cliente</t>
        </is>
      </c>
      <c r="I18" s="10" t="inlineStr">
        <is>
          <t>Media</t>
        </is>
      </c>
      <c r="J18" s="10" t="inlineStr"/>
      <c r="K18" s="10" t="inlineStr">
        <is>
          <t>Motor actual (proposal.py)</t>
        </is>
      </c>
      <c r="L18" s="10" t="inlineStr">
        <is>
          <t>SI</t>
        </is>
      </c>
      <c r="M18" s="12">
        <f>IF(A18="","",COUNTIF(kb_minuta_recomendacion!$D$2:$D$2000,A18))</f>
        <v/>
      </c>
      <c r="N18" s="12">
        <f>IF(A18="","",SUMPRODUCT((kb_minuta_recomendacion!$D$2:$D$2000=A18)/COUNTIFS(kb_minuta_recomendacion!$D$2:$D$2000,kb_minuta_recomendacion!$D$2:$D$2000&amp;"",kb_minuta_recomendacion!$A$2:$A$2000,kb_minuta_recomendacion!$A$2:$A$2000&amp;"")))</f>
        <v/>
      </c>
      <c r="O18" s="12">
        <f>IF(A18="","",COUNTIF(kb_minuta_hallazgo!$F$2:$F$2000,A18))</f>
        <v/>
      </c>
    </row>
    <row r="19">
      <c r="A19" s="10" t="inlineStr">
        <is>
          <t>R18</t>
        </is>
      </c>
      <c r="B19" s="10" t="inlineStr">
        <is>
          <t>Red</t>
        </is>
      </c>
      <c r="C19" s="10" t="inlineStr">
        <is>
          <t>Switch administrable</t>
        </is>
      </c>
      <c r="D19" s="10" t="inlineStr">
        <is>
          <t>No hay switch: las conexiones dependen del router</t>
        </is>
      </c>
      <c r="E19" s="10" t="inlineStr">
        <is>
          <t>{"manual":"sin switch"}</t>
        </is>
      </c>
      <c r="F19" s="10" t="inlineStr">
        <is>
          <t>Las conexiones cableadas dependen directamente del router o módem.</t>
        </is>
      </c>
      <c r="G19" s="10" t="inlineStr">
        <is>
          <t>Centralizar las conexiones cableadas en un switch administrable.</t>
        </is>
      </c>
      <c r="H19" s="10" t="inlineStr">
        <is>
          <t>Cliente</t>
        </is>
      </c>
      <c r="I19" s="10" t="inlineStr">
        <is>
          <t>Media</t>
        </is>
      </c>
      <c r="J19" s="10" t="inlineStr">
        <is>
          <t>EQ-SWITCH-ADM</t>
        </is>
      </c>
      <c r="K19" s="10" t="inlineStr">
        <is>
          <t>Motor actual (proposal.py); minuta Don Oscar (equipos directo al módem)</t>
        </is>
      </c>
      <c r="L19" s="10" t="inlineStr">
        <is>
          <t>SI</t>
        </is>
      </c>
      <c r="M19" s="12">
        <f>IF(A19="","",COUNTIF(kb_minuta_recomendacion!$D$2:$D$2000,A19))</f>
        <v/>
      </c>
      <c r="N19" s="12">
        <f>IF(A19="","",SUMPRODUCT((kb_minuta_recomendacion!$D$2:$D$2000=A19)/COUNTIFS(kb_minuta_recomendacion!$D$2:$D$2000,kb_minuta_recomendacion!$D$2:$D$2000&amp;"",kb_minuta_recomendacion!$A$2:$A$2000,kb_minuta_recomendacion!$A$2:$A$2000&amp;"")))</f>
        <v/>
      </c>
      <c r="O19" s="12">
        <f>IF(A19="","",COUNTIF(kb_minuta_hallazgo!$F$2:$F$2000,A19))</f>
        <v/>
      </c>
    </row>
    <row r="20">
      <c r="A20" s="10" t="inlineStr">
        <is>
          <t>R19</t>
        </is>
      </c>
      <c r="B20" s="10" t="inlineStr">
        <is>
          <t>WiFi</t>
        </is>
      </c>
      <c r="C20" s="10" t="inlineStr">
        <is>
          <t>Cobertura WiFi en todo el local (repetidor o access point)</t>
        </is>
      </c>
      <c r="D20" s="10" t="inlineStr">
        <is>
          <t>P46 tiene áreas (zonas sin señal WiFi)</t>
        </is>
      </c>
      <c r="E20" s="10" t="inlineStr">
        <is>
          <t>{"notEmpty":"$P46"}</t>
        </is>
      </c>
      <c r="F20" s="10" t="inlineStr">
        <is>
          <t>Hay zonas sin señal WiFi. Los meseros comandan desde celular, tablet, PC, laptop o Sunmi por WiFi y en esas zonas no pueden acceder al sistema.</t>
        </is>
      </c>
      <c r="G20" s="10" t="inlineStr">
        <is>
          <t>Colocar un repetidor o un access point para cubrir las zonas sin señal. Todo el local (salones, terraza, barra) debe tener WiFi para que los meseros comanden.</t>
        </is>
      </c>
      <c r="H20" s="10" t="inlineStr">
        <is>
          <t>Cliente</t>
        </is>
      </c>
      <c r="I20" s="10" t="inlineStr">
        <is>
          <t>Alta</t>
        </is>
      </c>
      <c r="J20" s="10" t="inlineStr">
        <is>
          <t>EQ-AP-WIFI6</t>
        </is>
      </c>
      <c r="K20" s="10" t="inlineStr">
        <is>
          <t>Regla de negocio IDPos (2026-10-06); motor actual (proposal.py)</t>
        </is>
      </c>
      <c r="L20" s="10" t="inlineStr">
        <is>
          <t>SI</t>
        </is>
      </c>
      <c r="M20" s="12">
        <f>IF(A20="","",COUNTIF(kb_minuta_recomendacion!$D$2:$D$2000,A20))</f>
        <v/>
      </c>
      <c r="N20" s="12">
        <f>IF(A20="","",SUMPRODUCT((kb_minuta_recomendacion!$D$2:$D$2000=A20)/COUNTIFS(kb_minuta_recomendacion!$D$2:$D$2000,kb_minuta_recomendacion!$D$2:$D$2000&amp;"",kb_minuta_recomendacion!$A$2:$A$2000,kb_minuta_recomendacion!$A$2:$A$2000&amp;"")))</f>
        <v/>
      </c>
      <c r="O20" s="12">
        <f>IF(A20="","",COUNTIF(kb_minuta_hallazgo!$F$2:$F$2000,A20))</f>
        <v/>
      </c>
    </row>
    <row r="21">
      <c r="A21" s="10" t="inlineStr">
        <is>
          <t>R20</t>
        </is>
      </c>
      <c r="B21" s="10" t="inlineStr">
        <is>
          <t>Red</t>
        </is>
      </c>
      <c r="C21" s="10" t="inlineStr">
        <is>
          <t>Switch PoE para cámaras</t>
        </is>
      </c>
      <c r="D21" s="10" t="inlineStr">
        <is>
          <t>P47 = Sí</t>
        </is>
      </c>
      <c r="E21" s="10" t="inlineStr">
        <is>
          <t>{"eq":["$P47","SI"]}</t>
        </is>
      </c>
      <c r="F21" s="10" t="inlineStr">
        <is>
          <t>Hay cámaras en la red.</t>
        </is>
      </c>
      <c r="G21" s="10" t="inlineStr">
        <is>
          <t>Usar un switch PoE para alimentar cámaras y access points por el mismo cable.</t>
        </is>
      </c>
      <c r="H21" s="10" t="inlineStr">
        <is>
          <t>Cliente</t>
        </is>
      </c>
      <c r="I21" s="10" t="inlineStr">
        <is>
          <t>Baja</t>
        </is>
      </c>
      <c r="J21" s="10" t="inlineStr">
        <is>
          <t>EQ-SWITCH-POE</t>
        </is>
      </c>
      <c r="K21" s="10" t="inlineStr">
        <is>
          <t>Motor actual (proposal.py)</t>
        </is>
      </c>
      <c r="L21" s="10" t="inlineStr">
        <is>
          <t>SI</t>
        </is>
      </c>
      <c r="M21" s="12">
        <f>IF(A21="","",COUNTIF(kb_minuta_recomendacion!$D$2:$D$2000,A21))</f>
        <v/>
      </c>
      <c r="N21" s="12">
        <f>IF(A21="","",SUMPRODUCT((kb_minuta_recomendacion!$D$2:$D$2000=A21)/COUNTIFS(kb_minuta_recomendacion!$D$2:$D$2000,kb_minuta_recomendacion!$D$2:$D$2000&amp;"",kb_minuta_recomendacion!$A$2:$A$2000,kb_minuta_recomendacion!$A$2:$A$2000&amp;"")))</f>
        <v/>
      </c>
      <c r="O21" s="12">
        <f>IF(A21="","",COUNTIF(kb_minuta_hallazgo!$F$2:$F$2000,A21))</f>
        <v/>
      </c>
    </row>
    <row r="22">
      <c r="A22" s="10" t="inlineStr">
        <is>
          <t>R21</t>
        </is>
      </c>
      <c r="B22" s="10" t="inlineStr">
        <is>
          <t>Red</t>
        </is>
      </c>
      <c r="C22" s="10" t="inlineStr">
        <is>
          <t>VLAN para cajas y POS</t>
        </is>
      </c>
      <c r="D22" s="10" t="inlineStr">
        <is>
          <t>P12 &gt; 0</t>
        </is>
      </c>
      <c r="E22" s="10" t="inlineStr">
        <is>
          <t>{"gt":["$P12",0]}</t>
        </is>
      </c>
      <c r="F22" s="10" t="inlineStr">
        <is>
          <t>El tráfico de cajas comparte la red con los demás equipos.</t>
        </is>
      </c>
      <c r="G22" s="10" t="inlineStr">
        <is>
          <t>Separar el tráfico de POS/cajas en una VLAN exclusiva.</t>
        </is>
      </c>
      <c r="H22" s="10" t="inlineStr">
        <is>
          <t>ID</t>
        </is>
      </c>
      <c r="I22" s="10" t="inlineStr">
        <is>
          <t>Baja</t>
        </is>
      </c>
      <c r="J22" s="10" t="inlineStr">
        <is>
          <t>EQ-SWITCH-ADM</t>
        </is>
      </c>
      <c r="K22" s="10" t="inlineStr">
        <is>
          <t>Motor actual (proposal.py)</t>
        </is>
      </c>
      <c r="L22" s="10" t="inlineStr">
        <is>
          <t>SI</t>
        </is>
      </c>
      <c r="M22" s="12">
        <f>IF(A22="","",COUNTIF(kb_minuta_recomendacion!$D$2:$D$2000,A22))</f>
        <v/>
      </c>
      <c r="N22" s="12">
        <f>IF(A22="","",SUMPRODUCT((kb_minuta_recomendacion!$D$2:$D$2000=A22)/COUNTIFS(kb_minuta_recomendacion!$D$2:$D$2000,kb_minuta_recomendacion!$D$2:$D$2000&amp;"",kb_minuta_recomendacion!$A$2:$A$2000,kb_minuta_recomendacion!$A$2:$A$2000&amp;"")))</f>
        <v/>
      </c>
      <c r="O22" s="12">
        <f>IF(A22="","",COUNTIF(kb_minuta_hallazgo!$F$2:$F$2000,A22))</f>
        <v/>
      </c>
    </row>
    <row r="23">
      <c r="A23" s="10" t="inlineStr">
        <is>
          <t>R22</t>
        </is>
      </c>
      <c r="B23" s="10" t="inlineStr">
        <is>
          <t>Energía</t>
        </is>
      </c>
      <c r="C23" s="10" t="inlineStr">
        <is>
          <t>Tomacorrientes junto a puntos de red</t>
        </is>
      </c>
      <c r="D23" s="10" t="inlineStr">
        <is>
          <t>P33 = No</t>
        </is>
      </c>
      <c r="E23" s="10" t="inlineStr">
        <is>
          <t>{"eq":["$P33","NO"]}</t>
        </is>
      </c>
      <c r="F23" s="10" t="inlineStr">
        <is>
          <t>No hay tomas cerca de los equipos de red.</t>
        </is>
      </c>
      <c r="G23" s="10" t="inlineStr">
        <is>
          <t>Habilitar tomacorrientes adyacentes a cada punto de red (TIA/EIA-568).</t>
        </is>
      </c>
      <c r="H23" s="10" t="inlineStr">
        <is>
          <t>Cliente</t>
        </is>
      </c>
      <c r="I23" s="10" t="inlineStr">
        <is>
          <t>Alta</t>
        </is>
      </c>
      <c r="J23" s="10" t="inlineStr"/>
      <c r="K23" s="10" t="inlineStr">
        <is>
          <t>Motor actual (proposal.py); flujo (P33)</t>
        </is>
      </c>
      <c r="L23" s="10" t="inlineStr">
        <is>
          <t>SI</t>
        </is>
      </c>
      <c r="M23" s="12">
        <f>IF(A23="","",COUNTIF(kb_minuta_recomendacion!$D$2:$D$2000,A23))</f>
        <v/>
      </c>
      <c r="N23" s="12">
        <f>IF(A23="","",SUMPRODUCT((kb_minuta_recomendacion!$D$2:$D$2000=A23)/COUNTIFS(kb_minuta_recomendacion!$D$2:$D$2000,kb_minuta_recomendacion!$D$2:$D$2000&amp;"",kb_minuta_recomendacion!$A$2:$A$2000,kb_minuta_recomendacion!$A$2:$A$2000&amp;"")))</f>
        <v/>
      </c>
      <c r="O23" s="12">
        <f>IF(A23="","",COUNTIF(kb_minuta_hallazgo!$F$2:$F$2000,A23))</f>
        <v/>
      </c>
    </row>
    <row r="24">
      <c r="A24" s="10" t="inlineStr">
        <is>
          <t>R23</t>
        </is>
      </c>
      <c r="B24" s="10" t="inlineStr">
        <is>
          <t>Internet</t>
        </is>
      </c>
      <c r="C24" s="10" t="inlineStr">
        <is>
          <t>Confirmar proveedor</t>
        </is>
      </c>
      <c r="D24" s="10" t="inlineStr">
        <is>
          <t>Regla V07 en REVISAR</t>
        </is>
      </c>
      <c r="E24" s="10" t="inlineStr">
        <is>
          <t>{"validacion":"V07","estado":"REVISAR"}</t>
        </is>
      </c>
      <c r="F24" s="10" t="inlineStr">
        <is>
          <t>El proveedor indicado no coincide con el de las evidencias.</t>
        </is>
      </c>
      <c r="G24" s="10" t="inlineStr">
        <is>
          <t>Confirmar con el cliente qué proveedor se usa realmente.</t>
        </is>
      </c>
      <c r="H24" s="10" t="inlineStr">
        <is>
          <t>ID</t>
        </is>
      </c>
      <c r="I24" s="10" t="inlineStr">
        <is>
          <t>Baja</t>
        </is>
      </c>
      <c r="J24" s="10" t="inlineStr"/>
      <c r="K24" s="10" t="inlineStr">
        <is>
          <t>Regla de validación V07</t>
        </is>
      </c>
      <c r="L24" s="10" t="inlineStr">
        <is>
          <t>SI</t>
        </is>
      </c>
      <c r="M24" s="12">
        <f>IF(A24="","",COUNTIF(kb_minuta_recomendacion!$D$2:$D$2000,A24))</f>
        <v/>
      </c>
      <c r="N24" s="12">
        <f>IF(A24="","",SUMPRODUCT((kb_minuta_recomendacion!$D$2:$D$2000=A24)/COUNTIFS(kb_minuta_recomendacion!$D$2:$D$2000,kb_minuta_recomendacion!$D$2:$D$2000&amp;"",kb_minuta_recomendacion!$A$2:$A$2000,kb_minuta_recomendacion!$A$2:$A$2000&amp;"")))</f>
        <v/>
      </c>
      <c r="O24" s="12">
        <f>IF(A24="","",COUNTIF(kb_minuta_hallazgo!$F$2:$F$2000,A24))</f>
        <v/>
      </c>
    </row>
    <row r="25">
      <c r="A25" s="10" t="inlineStr">
        <is>
          <t>R24</t>
        </is>
      </c>
      <c r="B25" s="10" t="inlineStr">
        <is>
          <t>Impresión</t>
        </is>
      </c>
      <c r="C25" s="10" t="inlineStr">
        <is>
          <t>IP fija para impresoras de red</t>
        </is>
      </c>
      <c r="D25" s="10" t="inlineStr">
        <is>
          <t>Regla V04 en OBSERVADO</t>
        </is>
      </c>
      <c r="E25" s="10" t="inlineStr">
        <is>
          <t>{"validacion":"V04","estado":"OBSERVADO"}</t>
        </is>
      </c>
      <c r="F25" s="10" t="inlineStr">
        <is>
          <t>Una impresora de red no tiene IP fija dentro del segmento.</t>
        </is>
      </c>
      <c r="G25" s="10" t="inlineStr">
        <is>
          <t>Fijar la IP de la impresora dentro del segmento del router (desactivar DHCP).</t>
        </is>
      </c>
      <c r="H25" s="10" t="inlineStr">
        <is>
          <t>ID</t>
        </is>
      </c>
      <c r="I25" s="10" t="inlineStr">
        <is>
          <t>Alta</t>
        </is>
      </c>
      <c r="J25" s="10" t="inlineStr"/>
      <c r="K25" s="10" t="inlineStr">
        <is>
          <t>Regla de validación V04</t>
        </is>
      </c>
      <c r="L25" s="10" t="inlineStr">
        <is>
          <t>SI</t>
        </is>
      </c>
      <c r="M25" s="12">
        <f>IF(A25="","",COUNTIF(kb_minuta_recomendacion!$D$2:$D$2000,A25))</f>
        <v/>
      </c>
      <c r="N25" s="12">
        <f>IF(A25="","",SUMPRODUCT((kb_minuta_recomendacion!$D$2:$D$2000=A25)/COUNTIFS(kb_minuta_recomendacion!$D$2:$D$2000,kb_minuta_recomendacion!$D$2:$D$2000&amp;"",kb_minuta_recomendacion!$A$2:$A$2000,kb_minuta_recomendacion!$A$2:$A$2000&amp;"")))</f>
        <v/>
      </c>
      <c r="O25" s="12">
        <f>IF(A25="","",COUNTIF(kb_minuta_hallazgo!$F$2:$F$2000,A25))</f>
        <v/>
      </c>
    </row>
    <row r="26">
      <c r="A26" s="10" t="inlineStr">
        <is>
          <t>R25</t>
        </is>
      </c>
      <c r="B26" s="10" t="inlineStr">
        <is>
          <t>Energía</t>
        </is>
      </c>
      <c r="C26" s="10" t="inlineStr">
        <is>
          <t>Retirar extensiones</t>
        </is>
      </c>
      <c r="D26" s="10" t="inlineStr">
        <is>
          <t>P36 = Sí</t>
        </is>
      </c>
      <c r="E26" s="10" t="inlineStr">
        <is>
          <t>{"eq":["$P36","SI"]}</t>
        </is>
      </c>
      <c r="F26" s="10" t="inlineStr">
        <is>
          <t>Hay equipos de red o impresoras conectados a extensiones.</t>
        </is>
      </c>
      <c r="G26" s="10" t="inlineStr">
        <is>
          <t>Pasar los equipos de la extensión a una toma directa o a un UPS.</t>
        </is>
      </c>
      <c r="H26" s="10" t="inlineStr">
        <is>
          <t>Cliente</t>
        </is>
      </c>
      <c r="I26" s="10" t="inlineStr">
        <is>
          <t>Alta</t>
        </is>
      </c>
      <c r="J26" s="10" t="inlineStr">
        <is>
          <t>EQ-UPS</t>
        </is>
      </c>
      <c r="K26" s="10" t="inlineStr">
        <is>
          <t>Flujo (P36a)</t>
        </is>
      </c>
      <c r="L26" s="10" t="inlineStr">
        <is>
          <t>SI</t>
        </is>
      </c>
      <c r="M26" s="12">
        <f>IF(A26="","",COUNTIF(kb_minuta_recomendacion!$D$2:$D$2000,A26))</f>
        <v/>
      </c>
      <c r="N26" s="12">
        <f>IF(A26="","",SUMPRODUCT((kb_minuta_recomendacion!$D$2:$D$2000=A26)/COUNTIFS(kb_minuta_recomendacion!$D$2:$D$2000,kb_minuta_recomendacion!$D$2:$D$2000&amp;"",kb_minuta_recomendacion!$A$2:$A$2000,kb_minuta_recomendacion!$A$2:$A$2000&amp;"")))</f>
        <v/>
      </c>
      <c r="O26" s="12">
        <f>IF(A26="","",COUNTIF(kb_minuta_hallazgo!$F$2:$F$2000,A26))</f>
        <v/>
      </c>
    </row>
    <row r="27">
      <c r="A27" s="10" t="inlineStr">
        <is>
          <t>R26</t>
        </is>
      </c>
      <c r="B27" s="10" t="inlineStr">
        <is>
          <t>Visita</t>
        </is>
      </c>
      <c r="C27" s="10" t="inlineStr">
        <is>
          <t>Segunda visita técnica</t>
        </is>
      </c>
      <c r="D27" s="10" t="inlineStr">
        <is>
          <t>P50 = Sí</t>
        </is>
      </c>
      <c r="E27" s="10" t="inlineStr">
        <is>
          <t>{"eq":["$P50","SI"]}</t>
        </is>
      </c>
      <c r="F27" s="10" t="inlineStr">
        <is>
          <t>Quedan trabajos pendientes en el local.</t>
        </is>
      </c>
      <c r="G27" s="10" t="inlineStr">
        <is>
          <t>Agendar una segunda visita técnica (motivo en P50a).</t>
        </is>
      </c>
      <c r="H27" s="10" t="inlineStr">
        <is>
          <t>ID</t>
        </is>
      </c>
      <c r="I27" s="10" t="inlineStr">
        <is>
          <t>Alta</t>
        </is>
      </c>
      <c r="J27" s="10" t="inlineStr"/>
      <c r="K27" s="10" t="inlineStr">
        <is>
          <t>Flujo (P50); minuta Sicilia</t>
        </is>
      </c>
      <c r="L27" s="10" t="inlineStr">
        <is>
          <t>SI</t>
        </is>
      </c>
      <c r="M27" s="12">
        <f>IF(A27="","",COUNTIF(kb_minuta_recomendacion!$D$2:$D$2000,A27))</f>
        <v/>
      </c>
      <c r="N27" s="12">
        <f>IF(A27="","",SUMPRODUCT((kb_minuta_recomendacion!$D$2:$D$2000=A27)/COUNTIFS(kb_minuta_recomendacion!$D$2:$D$2000,kb_minuta_recomendacion!$D$2:$D$2000&amp;"",kb_minuta_recomendacion!$A$2:$A$2000,kb_minuta_recomendacion!$A$2:$A$2000&amp;"")))</f>
        <v/>
      </c>
      <c r="O27" s="12">
        <f>IF(A27="","",COUNTIF(kb_minuta_hallazgo!$F$2:$F$2000,A27))</f>
        <v/>
      </c>
    </row>
    <row r="28">
      <c r="A28" s="10" t="inlineStr">
        <is>
          <t>R27</t>
        </is>
      </c>
      <c r="B28" s="10" t="inlineStr">
        <is>
          <t>Mantenimiento</t>
        </is>
      </c>
      <c r="C28" s="10" t="inlineStr">
        <is>
          <t>Mantenimiento de equipos y tomas</t>
        </is>
      </c>
      <c r="D28" s="10" t="inlineStr">
        <is>
          <t>Equipos con suciedad o grasa observados en la visita</t>
        </is>
      </c>
      <c r="E28" s="10" t="inlineStr">
        <is>
          <t>{"manual":"mantenimiento"}</t>
        </is>
      </c>
      <c r="F28" s="10" t="inlineStr">
        <is>
          <t>Equipos de red y tomas con suciedad.</t>
        </is>
      </c>
      <c r="G28" s="10" t="inlineStr">
        <is>
          <t>Dar mantenimiento a los equipos de red (router, módem, Raspberry) y limpiar las tomas de energía.</t>
        </is>
      </c>
      <c r="H28" s="10" t="inlineStr">
        <is>
          <t>ID</t>
        </is>
      </c>
      <c r="I28" s="10" t="inlineStr">
        <is>
          <t>Baja</t>
        </is>
      </c>
      <c r="J28" s="10" t="inlineStr"/>
      <c r="K28" s="10" t="inlineStr">
        <is>
          <t>Minuta Don Oscar</t>
        </is>
      </c>
      <c r="L28" s="10" t="inlineStr">
        <is>
          <t>SI</t>
        </is>
      </c>
      <c r="M28" s="12">
        <f>IF(A28="","",COUNTIF(kb_minuta_recomendacion!$D$2:$D$2000,A28))</f>
        <v/>
      </c>
      <c r="N28" s="12">
        <f>IF(A28="","",SUMPRODUCT((kb_minuta_recomendacion!$D$2:$D$2000=A28)/COUNTIFS(kb_minuta_recomendacion!$D$2:$D$2000,kb_minuta_recomendacion!$D$2:$D$2000&amp;"",kb_minuta_recomendacion!$A$2:$A$2000,kb_minuta_recomendacion!$A$2:$A$2000&amp;"")))</f>
        <v/>
      </c>
      <c r="O28" s="12">
        <f>IF(A28="","",COUNTIF(kb_minuta_hallazgo!$F$2:$F$2000,A28))</f>
        <v/>
      </c>
    </row>
    <row r="29">
      <c r="A29" s="10" t="inlineStr">
        <is>
          <t>R28</t>
        </is>
      </c>
      <c r="B29" s="10" t="inlineStr">
        <is>
          <t>Seguridad</t>
        </is>
      </c>
      <c r="C29" s="10" t="inlineStr">
        <is>
          <t>Firewall y segmentación</t>
        </is>
      </c>
      <c r="D29" s="10" t="inlineStr">
        <is>
          <t>El cliente requiere firewall o VLAN</t>
        </is>
      </c>
      <c r="E29" s="10" t="inlineStr">
        <is>
          <t>{"manual":"servicios firewall/vlan"}</t>
        </is>
      </c>
      <c r="F29" s="10" t="inlineStr">
        <is>
          <t>No hay segmentación ni firewall.</t>
        </is>
      </c>
      <c r="G29" s="10" t="inlineStr">
        <is>
          <t>Implementar firewall y segmentación por VLAN.</t>
        </is>
      </c>
      <c r="H29" s="10" t="inlineStr">
        <is>
          <t>ID</t>
        </is>
      </c>
      <c r="I29" s="10" t="inlineStr">
        <is>
          <t>Baja</t>
        </is>
      </c>
      <c r="J29" s="10" t="inlineStr">
        <is>
          <t>EQ-ROUTER-EMP</t>
        </is>
      </c>
      <c r="K29" s="10" t="inlineStr">
        <is>
          <t>Motor actual (proposal.py)</t>
        </is>
      </c>
      <c r="L29" s="10" t="inlineStr">
        <is>
          <t>SI</t>
        </is>
      </c>
      <c r="M29" s="12">
        <f>IF(A29="","",COUNTIF(kb_minuta_recomendacion!$D$2:$D$2000,A29))</f>
        <v/>
      </c>
      <c r="N29" s="12">
        <f>IF(A29="","",SUMPRODUCT((kb_minuta_recomendacion!$D$2:$D$2000=A29)/COUNTIFS(kb_minuta_recomendacion!$D$2:$D$2000,kb_minuta_recomendacion!$D$2:$D$2000&amp;"",kb_minuta_recomendacion!$A$2:$A$2000,kb_minuta_recomendacion!$A$2:$A$2000&amp;"")))</f>
        <v/>
      </c>
      <c r="O29" s="12">
        <f>IF(A29="","",COUNTIF(kb_minuta_hallazgo!$F$2:$F$2000,A29))</f>
        <v/>
      </c>
    </row>
    <row r="30">
      <c r="A30" s="10" t="inlineStr">
        <is>
          <t>A01</t>
        </is>
      </c>
      <c r="B30" s="10" t="inlineStr">
        <is>
          <t>Acción estándar</t>
        </is>
      </c>
      <c r="C30" s="10" t="inlineStr">
        <is>
          <t>Compartir la minuta técnica</t>
        </is>
      </c>
      <c r="D30" s="10" t="inlineStr">
        <is>
          <t>Siempre</t>
        </is>
      </c>
      <c r="E30" s="10" t="inlineStr">
        <is>
          <t>{"siempre":true}</t>
        </is>
      </c>
      <c r="F30" s="10" t="inlineStr"/>
      <c r="G30" s="10" t="inlineStr">
        <is>
          <t>Compartir la minuta técnica con el cliente.</t>
        </is>
      </c>
      <c r="H30" s="10" t="inlineStr">
        <is>
          <t>ID</t>
        </is>
      </c>
      <c r="I30" s="10" t="inlineStr">
        <is>
          <t>Alta</t>
        </is>
      </c>
      <c r="J30" s="10" t="inlineStr"/>
      <c r="K30" s="10" t="inlineStr">
        <is>
          <t>Minutas Don Oscar, Barrio Pesquero y Rock &amp; Burgers</t>
        </is>
      </c>
      <c r="L30" s="10" t="inlineStr">
        <is>
          <t>SI</t>
        </is>
      </c>
      <c r="M30" s="12">
        <f>IF(A30="","",COUNTIF(kb_minuta_recomendacion!$D$2:$D$2000,A30))</f>
        <v/>
      </c>
      <c r="N30" s="12">
        <f>IF(A30="","",SUMPRODUCT((kb_minuta_recomendacion!$D$2:$D$2000=A30)/COUNTIFS(kb_minuta_recomendacion!$D$2:$D$2000,kb_minuta_recomendacion!$D$2:$D$2000&amp;"",kb_minuta_recomendacion!$A$2:$A$2000,kb_minuta_recomendacion!$A$2:$A$2000&amp;"")))</f>
        <v/>
      </c>
      <c r="O30" s="12">
        <f>IF(A30="","",COUNTIF(kb_minuta_hallazgo!$F$2:$F$2000,A30))</f>
        <v/>
      </c>
    </row>
    <row r="31">
      <c r="A31" s="10" t="inlineStr">
        <is>
          <t>A02</t>
        </is>
      </c>
      <c r="B31" s="10" t="inlineStr">
        <is>
          <t>Acción estándar</t>
        </is>
      </c>
      <c r="C31" s="10" t="inlineStr">
        <is>
          <t>Confirmar recepción de la minuta</t>
        </is>
      </c>
      <c r="D31" s="10" t="inlineStr">
        <is>
          <t>Siempre</t>
        </is>
      </c>
      <c r="E31" s="10" t="inlineStr">
        <is>
          <t>{"siempre":true}</t>
        </is>
      </c>
      <c r="F31" s="10" t="inlineStr"/>
      <c r="G31" s="10" t="inlineStr">
        <is>
          <t>Confirmar la recepción de la minuta de visita técnica.</t>
        </is>
      </c>
      <c r="H31" s="10" t="inlineStr">
        <is>
          <t>Cliente</t>
        </is>
      </c>
      <c r="I31" s="10" t="inlineStr">
        <is>
          <t>Alta</t>
        </is>
      </c>
      <c r="J31" s="10" t="inlineStr"/>
      <c r="K31" s="10" t="inlineStr">
        <is>
          <t>Minutas Sicilia, Don Oscar y Barrio Pesquero</t>
        </is>
      </c>
      <c r="L31" s="10" t="inlineStr">
        <is>
          <t>SI</t>
        </is>
      </c>
      <c r="M31" s="12">
        <f>IF(A31="","",COUNTIF(kb_minuta_recomendacion!$D$2:$D$2000,A31))</f>
        <v/>
      </c>
      <c r="N31" s="12">
        <f>IF(A31="","",SUMPRODUCT((kb_minuta_recomendacion!$D$2:$D$2000=A31)/COUNTIFS(kb_minuta_recomendacion!$D$2:$D$2000,kb_minuta_recomendacion!$D$2:$D$2000&amp;"",kb_minuta_recomendacion!$A$2:$A$2000,kb_minuta_recomendacion!$A$2:$A$2000&amp;"")))</f>
        <v/>
      </c>
      <c r="O31" s="12">
        <f>IF(A31="","",COUNTIF(kb_minuta_hallazgo!$F$2:$F$2000,A31))</f>
        <v/>
      </c>
    </row>
    <row r="32">
      <c r="A32" s="10" t="inlineStr">
        <is>
          <t>A03</t>
        </is>
      </c>
      <c r="B32" s="10" t="inlineStr">
        <is>
          <t>Acción estándar</t>
        </is>
      </c>
      <c r="C32" s="10" t="inlineStr">
        <is>
          <t>Enviar cotización de equipos</t>
        </is>
      </c>
      <c r="D32" s="10" t="inlineStr">
        <is>
          <t>Hay equipos recomendados</t>
        </is>
      </c>
      <c r="E32" s="10" t="inlineStr">
        <is>
          <t>{"manual":"equipos recomendados"}</t>
        </is>
      </c>
      <c r="F32" s="10" t="inlineStr"/>
      <c r="G32" s="10" t="inlineStr">
        <is>
          <t>Enviar la cotización de los equipos recomendados.</t>
        </is>
      </c>
      <c r="H32" s="10" t="inlineStr">
        <is>
          <t>ID</t>
        </is>
      </c>
      <c r="I32" s="10" t="inlineStr">
        <is>
          <t>Media</t>
        </is>
      </c>
      <c r="J32" s="10" t="inlineStr"/>
      <c r="K32" s="10" t="inlineStr">
        <is>
          <t>Minuta Barrio Pesquero</t>
        </is>
      </c>
      <c r="L32" s="10" t="inlineStr">
        <is>
          <t>SI</t>
        </is>
      </c>
      <c r="M32" s="12">
        <f>IF(A32="","",COUNTIF(kb_minuta_recomendacion!$D$2:$D$2000,A32))</f>
        <v/>
      </c>
      <c r="N32" s="12">
        <f>IF(A32="","",SUMPRODUCT((kb_minuta_recomendacion!$D$2:$D$2000=A32)/COUNTIFS(kb_minuta_recomendacion!$D$2:$D$2000,kb_minuta_recomendacion!$D$2:$D$2000&amp;"",kb_minuta_recomendacion!$A$2:$A$2000,kb_minuta_recomendacion!$A$2:$A$2000&amp;"")))</f>
        <v/>
      </c>
      <c r="O32" s="12">
        <f>IF(A32="","",COUNTIF(kb_minuta_hallazgo!$F$2:$F$2000,A32))</f>
        <v/>
      </c>
    </row>
    <row r="33">
      <c r="A33" s="10" t="inlineStr">
        <is>
          <t>A04</t>
        </is>
      </c>
      <c r="B33" s="10" t="inlineStr">
        <is>
          <t>Acción estándar</t>
        </is>
      </c>
      <c r="C33" s="10" t="inlineStr">
        <is>
          <t>Capacitación e inicio con el sistema</t>
        </is>
      </c>
      <c r="D33" s="10" t="inlineStr">
        <is>
          <t>Siempre (visita para implementar IDPos)</t>
        </is>
      </c>
      <c r="E33" s="10" t="inlineStr">
        <is>
          <t>{"siempre":true}</t>
        </is>
      </c>
      <c r="F33" s="10" t="inlineStr"/>
      <c r="G33" s="10" t="inlineStr">
        <is>
          <t>Realizar la capacitación e inicio con el sistema en la fecha acordada.</t>
        </is>
      </c>
      <c r="H33" s="10" t="inlineStr">
        <is>
          <t>ID</t>
        </is>
      </c>
      <c r="I33" s="10" t="inlineStr">
        <is>
          <t>Alta</t>
        </is>
      </c>
      <c r="J33" s="10" t="inlineStr"/>
      <c r="K33" s="10" t="inlineStr">
        <is>
          <t>Minuta Rock &amp; Burgers</t>
        </is>
      </c>
      <c r="L33" s="10" t="inlineStr">
        <is>
          <t>SI</t>
        </is>
      </c>
      <c r="M33" s="12">
        <f>IF(A33="","",COUNTIF(kb_minuta_recomendacion!$D$2:$D$2000,A33))</f>
        <v/>
      </c>
      <c r="N33" s="12">
        <f>IF(A33="","",SUMPRODUCT((kb_minuta_recomendacion!$D$2:$D$2000=A33)/COUNTIFS(kb_minuta_recomendacion!$D$2:$D$2000,kb_minuta_recomendacion!$D$2:$D$2000&amp;"",kb_minuta_recomendacion!$A$2:$A$2000,kb_minuta_recomendacion!$A$2:$A$2000&amp;"")))</f>
        <v/>
      </c>
      <c r="O33" s="12">
        <f>IF(A33="","",COUNTIF(kb_minuta_hallazgo!$F$2:$F$2000,A33))</f>
        <v/>
      </c>
    </row>
    <row r="34">
      <c r="A34" s="10" t="inlineStr">
        <is>
          <t>A05</t>
        </is>
      </c>
      <c r="B34" s="10" t="inlineStr">
        <is>
          <t>Acción estándar</t>
        </is>
      </c>
      <c r="C34" s="10" t="inlineStr">
        <is>
          <t>Pruebas de comanda con impresoras</t>
        </is>
      </c>
      <c r="D34" s="10" t="inlineStr">
        <is>
          <t>Hay impresoras configuradas</t>
        </is>
      </c>
      <c r="E34" s="10" t="inlineStr">
        <is>
          <t>{"gt":["$P26",0]}</t>
        </is>
      </c>
      <c r="F34" s="10" t="inlineStr"/>
      <c r="G34" s="10" t="inlineStr">
        <is>
          <t>Realizar pruebas de comanda con cada impresora.</t>
        </is>
      </c>
      <c r="H34" s="10" t="inlineStr">
        <is>
          <t>ID</t>
        </is>
      </c>
      <c r="I34" s="10" t="inlineStr">
        <is>
          <t>Media</t>
        </is>
      </c>
      <c r="J34" s="10" t="inlineStr"/>
      <c r="K34" s="10" t="inlineStr">
        <is>
          <t>Minuta Rock &amp; Burgers</t>
        </is>
      </c>
      <c r="L34" s="10" t="inlineStr">
        <is>
          <t>SI</t>
        </is>
      </c>
      <c r="M34" s="12">
        <f>IF(A34="","",COUNTIF(kb_minuta_recomendacion!$D$2:$D$2000,A34))</f>
        <v/>
      </c>
      <c r="N34" s="12">
        <f>IF(A34="","",SUMPRODUCT((kb_minuta_recomendacion!$D$2:$D$2000=A34)/COUNTIFS(kb_minuta_recomendacion!$D$2:$D$2000,kb_minuta_recomendacion!$D$2:$D$2000&amp;"",kb_minuta_recomendacion!$A$2:$A$2000,kb_minuta_recomendacion!$A$2:$A$2000&amp;"")))</f>
        <v/>
      </c>
      <c r="O34" s="12">
        <f>IF(A34="","",COUNTIF(kb_minuta_hallazgo!$F$2:$F$2000,A34))</f>
        <v/>
      </c>
    </row>
    <row r="35">
      <c r="A35" s="10" t="inlineStr">
        <is>
          <t>A06</t>
        </is>
      </c>
      <c r="B35" s="10" t="inlineStr">
        <is>
          <t>Acción estándar</t>
        </is>
      </c>
      <c r="C35" s="10" t="inlineStr">
        <is>
          <t>Lista de usuarios del sistema</t>
        </is>
      </c>
      <c r="D35" s="10" t="inlineStr">
        <is>
          <t>Siempre (visita para implementar IDPos)</t>
        </is>
      </c>
      <c r="E35" s="10" t="inlineStr">
        <is>
          <t>{"siempre":true}</t>
        </is>
      </c>
      <c r="F35" s="10" t="inlineStr"/>
      <c r="G35" s="10" t="inlineStr">
        <is>
          <t>Enviar la lista de usuarios que tendrán acceso (p. ej. meseros).</t>
        </is>
      </c>
      <c r="H35" s="10" t="inlineStr">
        <is>
          <t>Cliente</t>
        </is>
      </c>
      <c r="I35" s="10" t="inlineStr">
        <is>
          <t>Media</t>
        </is>
      </c>
      <c r="J35" s="10" t="inlineStr"/>
      <c r="K35" s="10" t="inlineStr">
        <is>
          <t>Minuta Rock &amp; Burgers</t>
        </is>
      </c>
      <c r="L35" s="10" t="inlineStr">
        <is>
          <t>SI</t>
        </is>
      </c>
      <c r="M35" s="12">
        <f>IF(A35="","",COUNTIF(kb_minuta_recomendacion!$D$2:$D$2000,A35))</f>
        <v/>
      </c>
      <c r="N35" s="12">
        <f>IF(A35="","",SUMPRODUCT((kb_minuta_recomendacion!$D$2:$D$2000=A35)/COUNTIFS(kb_minuta_recomendacion!$D$2:$D$2000,kb_minuta_recomendacion!$D$2:$D$2000&amp;"",kb_minuta_recomendacion!$A$2:$A$2000,kb_minuta_recomendacion!$A$2:$A$2000&amp;"")))</f>
        <v/>
      </c>
      <c r="O35" s="12">
        <f>IF(A35="","",COUNTIF(kb_minuta_hallazgo!$F$2:$F$2000,A35))</f>
        <v/>
      </c>
    </row>
    <row r="36">
      <c r="A36" s="10" t="inlineStr">
        <is>
          <t>A07</t>
        </is>
      </c>
      <c r="B36" s="10" t="inlineStr">
        <is>
          <t>Acción estándar</t>
        </is>
      </c>
      <c r="C36" s="10" t="inlineStr">
        <is>
          <t>Enviar información del negocio</t>
        </is>
      </c>
      <c r="D36" s="10" t="inlineStr">
        <is>
          <t>Siempre (visita para implementar IDPos)</t>
        </is>
      </c>
      <c r="E36" s="10" t="inlineStr">
        <is>
          <t>{"siempre":true}</t>
        </is>
      </c>
      <c r="F36" s="10" t="inlineStr"/>
      <c r="G36" s="10" t="inlineStr">
        <is>
          <t>Enviar la información del negocio (Excel, carta, usuarios) en el formato que comparte ID.</t>
        </is>
      </c>
      <c r="H36" s="10" t="inlineStr">
        <is>
          <t>Cliente</t>
        </is>
      </c>
      <c r="I36" s="10" t="inlineStr">
        <is>
          <t>Media</t>
        </is>
      </c>
      <c r="J36" s="10" t="inlineStr"/>
      <c r="K36" s="10" t="inlineStr">
        <is>
          <t>Minuta Sicilia; minutas RKT (carta)</t>
        </is>
      </c>
      <c r="L36" s="10" t="inlineStr">
        <is>
          <t>SI</t>
        </is>
      </c>
      <c r="M36" s="12">
        <f>IF(A36="","",COUNTIF(kb_minuta_recomendacion!$D$2:$D$2000,A36))</f>
        <v/>
      </c>
      <c r="N36" s="12">
        <f>IF(A36="","",SUMPRODUCT((kb_minuta_recomendacion!$D$2:$D$2000=A36)/COUNTIFS(kb_minuta_recomendacion!$D$2:$D$2000,kb_minuta_recomendacion!$D$2:$D$2000&amp;"",kb_minuta_recomendacion!$A$2:$A$2000,kb_minuta_recomendacion!$A$2:$A$2000&amp;"")))</f>
        <v/>
      </c>
      <c r="O36" s="12">
        <f>IF(A36="","",COUNTIF(kb_minuta_hallazgo!$F$2:$F$2000,A36))</f>
        <v/>
      </c>
    </row>
    <row r="37">
      <c r="A37" s="10" t="inlineStr">
        <is>
          <t>R29</t>
        </is>
      </c>
      <c r="B37" s="10" t="inlineStr">
        <is>
          <t>Red</t>
        </is>
      </c>
      <c r="C37" s="10" t="inlineStr">
        <is>
          <t>Una sola red para POS e impresoras</t>
        </is>
      </c>
      <c r="D37" s="10" t="inlineStr">
        <is>
          <t>Hay dos proveedores o routers y los equipos quedan repartidos entre redes</t>
        </is>
      </c>
      <c r="E37" s="10" t="inlineStr">
        <is>
          <t>{"manual":"equipos en redes distintas"}</t>
        </is>
      </c>
      <c r="F37" s="10" t="inlineStr">
        <is>
          <t>PC de caja e impresoras están en redes distintas; desde una no se llega a la otra y dejan de imprimir.</t>
        </is>
      </c>
      <c r="G37" s="10" t="inlineStr">
        <is>
          <t>Conectar todas las PC de caja e impresoras a una misma red y dejar la otra solo como respaldo o para clientes.</t>
        </is>
      </c>
      <c r="H37" s="10" t="inlineStr">
        <is>
          <t>ID</t>
        </is>
      </c>
      <c r="I37" s="10" t="inlineStr">
        <is>
          <t>Alta</t>
        </is>
      </c>
      <c r="J37" s="10" t="inlineStr"/>
      <c r="K37" s="10" t="inlineStr">
        <is>
          <t>Minutas Dorcher San Miguel (14/04/23 y 27/05/23)</t>
        </is>
      </c>
      <c r="L37" s="10" t="inlineStr">
        <is>
          <t>SI</t>
        </is>
      </c>
      <c r="M37" s="12">
        <f>IF(A37="","",COUNTIF(kb_minuta_recomendacion!$D$2:$D$2000,A37))</f>
        <v/>
      </c>
      <c r="N37" s="12">
        <f>IF(A37="","",SUMPRODUCT((kb_minuta_recomendacion!$D$2:$D$2000=A37)/COUNTIFS(kb_minuta_recomendacion!$D$2:$D$2000,kb_minuta_recomendacion!$D$2:$D$2000&amp;"",kb_minuta_recomendacion!$A$2:$A$2000,kb_minuta_recomendacion!$A$2:$A$2000&amp;"")))</f>
        <v/>
      </c>
      <c r="O37" s="12">
        <f>IF(A37="","",COUNTIF(kb_minuta_hallazgo!$F$2:$F$2000,A37))</f>
        <v/>
      </c>
    </row>
    <row r="38">
      <c r="A38" s="10" t="inlineStr">
        <is>
          <t>R30</t>
        </is>
      </c>
      <c r="B38" s="10" t="inlineStr">
        <is>
          <t>Cableado</t>
        </is>
      </c>
      <c r="C38" s="10" t="inlineStr">
        <is>
          <t>Rotular cables y no moverlos sin avisar</t>
        </is>
      </c>
      <c r="D38" s="10" t="inlineStr">
        <is>
          <t>Se reconfiguró o reordenó el cableado durante la visita</t>
        </is>
      </c>
      <c r="E38" s="10" t="inlineStr">
        <is>
          <t>{"manual":"cableado reconfigurado"}</t>
        </is>
      </c>
      <c r="F38" s="10" t="inlineStr">
        <is>
          <t>El personal mueve cables de red entre routers y se pierde la impresión.</t>
        </is>
      </c>
      <c r="G38" s="10" t="inlineStr">
        <is>
          <t>Rotular los cables de red de cada equipo y no hacer cambios en el cableado sin informar antes a ID.</t>
        </is>
      </c>
      <c r="H38" s="10" t="inlineStr">
        <is>
          <t>Cliente</t>
        </is>
      </c>
      <c r="I38" s="10" t="inlineStr">
        <is>
          <t>Alta</t>
        </is>
      </c>
      <c r="J38" s="10" t="inlineStr"/>
      <c r="K38" s="10" t="inlineStr">
        <is>
          <t>Minuta Dorcher San Miguel 27/05/23; minuta Don Oscar (rotulado)</t>
        </is>
      </c>
      <c r="L38" s="10" t="inlineStr">
        <is>
          <t>SI</t>
        </is>
      </c>
      <c r="M38" s="12">
        <f>IF(A38="","",COUNTIF(kb_minuta_recomendacion!$D$2:$D$2000,A38))</f>
        <v/>
      </c>
      <c r="N38" s="12">
        <f>IF(A38="","",SUMPRODUCT((kb_minuta_recomendacion!$D$2:$D$2000=A38)/COUNTIFS(kb_minuta_recomendacion!$D$2:$D$2000,kb_minuta_recomendacion!$D$2:$D$2000&amp;"",kb_minuta_recomendacion!$A$2:$A$2000,kb_minuta_recomendacion!$A$2:$A$2000&amp;"")))</f>
        <v/>
      </c>
      <c r="O38" s="12">
        <f>IF(A38="","",COUNTIF(kb_minuta_hallazgo!$F$2:$F$2000,A38))</f>
        <v/>
      </c>
    </row>
    <row r="39">
      <c r="A39" s="10" t="inlineStr">
        <is>
          <t>R31</t>
        </is>
      </c>
      <c r="B39" s="10" t="inlineStr">
        <is>
          <t>Red</t>
        </is>
      </c>
      <c r="C39" s="10" t="inlineStr">
        <is>
          <t>Reemplazar switch defectuoso</t>
        </is>
      </c>
      <c r="D39" s="10" t="inlineStr">
        <is>
          <t>La velocidad llega inestable a un área y el switch del área falla</t>
        </is>
      </c>
      <c r="E39" s="10" t="inlineStr">
        <is>
          <t>{"manual":"switch con falla"}</t>
        </is>
      </c>
      <c r="F39" s="10" t="inlineStr">
        <is>
          <t>Un switch con falla corta o degrada la red de las PC de caja.</t>
        </is>
      </c>
      <c r="G39" s="10" t="inlineStr">
        <is>
          <t>Reemplazar el switch defectuoso y medir la velocidad en cada PC después del cambio.</t>
        </is>
      </c>
      <c r="H39" s="10" t="inlineStr">
        <is>
          <t>ID</t>
        </is>
      </c>
      <c r="I39" s="10" t="inlineStr">
        <is>
          <t>Alta</t>
        </is>
      </c>
      <c r="J39" s="10" t="inlineStr">
        <is>
          <t>EQ-SWITCH-NM</t>
        </is>
      </c>
      <c r="K39" s="10" t="inlineStr">
        <is>
          <t>Minuta Dorcher San Miguel 14/04/23</t>
        </is>
      </c>
      <c r="L39" s="10" t="inlineStr">
        <is>
          <t>SI</t>
        </is>
      </c>
      <c r="M39" s="12">
        <f>IF(A39="","",COUNTIF(kb_minuta_recomendacion!$D$2:$D$2000,A39))</f>
        <v/>
      </c>
      <c r="N39" s="12">
        <f>IF(A39="","",SUMPRODUCT((kb_minuta_recomendacion!$D$2:$D$2000=A39)/COUNTIFS(kb_minuta_recomendacion!$D$2:$D$2000,kb_minuta_recomendacion!$D$2:$D$2000&amp;"",kb_minuta_recomendacion!$A$2:$A$2000,kb_minuta_recomendacion!$A$2:$A$2000&amp;"")))</f>
        <v/>
      </c>
      <c r="O39" s="12">
        <f>IF(A39="","",COUNTIF(kb_minuta_hallazgo!$F$2:$F$2000,A39))</f>
        <v/>
      </c>
    </row>
    <row r="40">
      <c r="A40" s="10" t="inlineStr">
        <is>
          <t>R32</t>
        </is>
      </c>
      <c r="B40" s="10" t="inlineStr">
        <is>
          <t>WiFi</t>
        </is>
      </c>
      <c r="C40" s="10" t="inlineStr">
        <is>
          <t>Red WiFi definida para tablets</t>
        </is>
      </c>
      <c r="D40" s="10" t="inlineStr">
        <is>
          <t>Hay tablets de meseros con conectividad variable</t>
        </is>
      </c>
      <c r="E40" s="10" t="inlineStr">
        <is>
          <t>{"manual":"tablets con conectividad variable"}</t>
        </is>
      </c>
      <c r="F40" s="10" t="inlineStr">
        <is>
          <t>Las tablets se conectan a redes distintas y algunas pierden conexión.</t>
        </is>
      </c>
      <c r="G40" s="10" t="inlineStr">
        <is>
          <t>Definir la red WiFi que usará cada tablet, probar su conexión una por una y separarla de la red de clientes cuando sea posible.</t>
        </is>
      </c>
      <c r="H40" s="10" t="inlineStr">
        <is>
          <t>ID</t>
        </is>
      </c>
      <c r="I40" s="10" t="inlineStr">
        <is>
          <t>Media</t>
        </is>
      </c>
      <c r="J40" s="10" t="inlineStr"/>
      <c r="K40" s="10" t="inlineStr">
        <is>
          <t>Minutas Dorcher San Miguel (14/04/23 y 27/05/23)</t>
        </is>
      </c>
      <c r="L40" s="10" t="inlineStr">
        <is>
          <t>SI</t>
        </is>
      </c>
      <c r="M40" s="12">
        <f>IF(A40="","",COUNTIF(kb_minuta_recomendacion!$D$2:$D$2000,A40))</f>
        <v/>
      </c>
      <c r="N40" s="12">
        <f>IF(A40="","",SUMPRODUCT((kb_minuta_recomendacion!$D$2:$D$2000=A40)/COUNTIFS(kb_minuta_recomendacion!$D$2:$D$2000,kb_minuta_recomendacion!$D$2:$D$2000&amp;"",kb_minuta_recomendacion!$A$2:$A$2000,kb_minuta_recomendacion!$A$2:$A$2000&amp;"")))</f>
        <v/>
      </c>
      <c r="O40" s="12">
        <f>IF(A40="","",COUNTIF(kb_minuta_hallazgo!$F$2:$F$2000,A40))</f>
        <v/>
      </c>
    </row>
    <row r="41">
      <c r="A41" s="10" t="inlineStr">
        <is>
          <t>R33</t>
        </is>
      </c>
      <c r="B41" s="10" t="inlineStr">
        <is>
          <t>Internet</t>
        </is>
      </c>
      <c r="C41" s="10" t="inlineStr">
        <is>
          <t>Cambiar a un proveedor más estable</t>
        </is>
      </c>
      <c r="D41" s="10" t="inlineStr">
        <is>
          <t>P14 no es Fibra ni Cable coaxial, plan con datos limitados o P17 = Sí (caídas frecuentes)</t>
        </is>
      </c>
      <c r="E41" s="10" t="inlineStr">
        <is>
          <t>{"or":[{"and":[{"ne":["$P14","FIBRA"]},{"ne":["$P14","COAXIAL"]}]},{"eq":["$P17","SI"]}]}</t>
        </is>
      </c>
      <c r="F41" s="10" t="inlineStr">
        <is>
          <t>El internet es satelital, móvil o de un proveedor con caídas frecuentes.</t>
        </is>
      </c>
      <c r="G41" s="10" t="inlineStr">
        <is>
          <t>Evaluar internet por fibra (o Starlink donde no llega la fibra) y monitorear el consumo del plan mientras tanto.</t>
        </is>
      </c>
      <c r="H41" s="10" t="inlineStr">
        <is>
          <t>Cliente</t>
        </is>
      </c>
      <c r="I41" s="10" t="inlineStr">
        <is>
          <t>Media</t>
        </is>
      </c>
      <c r="J41" s="10" t="inlineStr"/>
      <c r="K41" s="10" t="inlineStr">
        <is>
          <t>Minutas Hotel La Confianza y Malala</t>
        </is>
      </c>
      <c r="L41" s="10" t="inlineStr">
        <is>
          <t>SI</t>
        </is>
      </c>
      <c r="M41" s="12">
        <f>IF(A41="","",COUNTIF(kb_minuta_recomendacion!$D$2:$D$2000,A41))</f>
        <v/>
      </c>
      <c r="N41" s="12">
        <f>IF(A41="","",SUMPRODUCT((kb_minuta_recomendacion!$D$2:$D$2000=A41)/COUNTIFS(kb_minuta_recomendacion!$D$2:$D$2000,kb_minuta_recomendacion!$D$2:$D$2000&amp;"",kb_minuta_recomendacion!$A$2:$A$2000,kb_minuta_recomendacion!$A$2:$A$2000&amp;"")))</f>
        <v/>
      </c>
      <c r="O41" s="12">
        <f>IF(A41="","",COUNTIF(kb_minuta_hallazgo!$F$2:$F$2000,A41))</f>
        <v/>
      </c>
    </row>
    <row r="42">
      <c r="A42" s="10" t="inlineStr">
        <is>
          <t>R34</t>
        </is>
      </c>
      <c r="B42" s="10" t="inlineStr">
        <is>
          <t>Impresión</t>
        </is>
      </c>
      <c r="C42" s="10" t="inlineStr">
        <is>
          <t>Ubicar el Raspberry en un lugar protegido</t>
        </is>
      </c>
      <c r="D42" s="10" t="inlineStr">
        <is>
          <t>El Raspberry está al alcance del personal o en la mesa de trabajo</t>
        </is>
      </c>
      <c r="E42" s="10" t="inlineStr">
        <is>
          <t>{"manual":"raspberry expuesto"}</t>
        </is>
      </c>
      <c r="F42" s="10" t="inlineStr">
        <is>
          <t>El Raspberry está en una zona de trabajo donde puede desconectarse o dañarse.</t>
        </is>
      </c>
      <c r="G42" s="10" t="inlineStr">
        <is>
          <t>Mover el Raspberry a un punto protegido e inaccesible para el personal, con toma y punto de red propios.</t>
        </is>
      </c>
      <c r="H42" s="10" t="inlineStr">
        <is>
          <t>Cliente</t>
        </is>
      </c>
      <c r="I42" s="10" t="inlineStr">
        <is>
          <t>Media</t>
        </is>
      </c>
      <c r="J42" s="10" t="inlineStr">
        <is>
          <t>EQ-RASPBERRY</t>
        </is>
      </c>
      <c r="K42" s="10" t="inlineStr">
        <is>
          <t>Minuta Hotel La Confianza</t>
        </is>
      </c>
      <c r="L42" s="10" t="inlineStr">
        <is>
          <t>SI</t>
        </is>
      </c>
      <c r="M42" s="12">
        <f>IF(A42="","",COUNTIF(kb_minuta_recomendacion!$D$2:$D$2000,A42))</f>
        <v/>
      </c>
      <c r="N42" s="12">
        <f>IF(A42="","",SUMPRODUCT((kb_minuta_recomendacion!$D$2:$D$2000=A42)/COUNTIFS(kb_minuta_recomendacion!$D$2:$D$2000,kb_minuta_recomendacion!$D$2:$D$2000&amp;"",kb_minuta_recomendacion!$A$2:$A$2000,kb_minuta_recomendacion!$A$2:$A$2000&amp;"")))</f>
        <v/>
      </c>
      <c r="O42" s="12">
        <f>IF(A42="","",COUNTIF(kb_minuta_hallazgo!$F$2:$F$2000,A42))</f>
        <v/>
      </c>
    </row>
    <row r="43">
      <c r="A43" s="10" t="inlineStr">
        <is>
          <t>R35</t>
        </is>
      </c>
      <c r="B43" s="10" t="inlineStr">
        <is>
          <t>Sistema</t>
        </is>
      </c>
      <c r="C43" s="10" t="inlineStr">
        <is>
          <t>Zona horaria correcta en las PC</t>
        </is>
      </c>
      <c r="D43" s="10" t="inlineStr">
        <is>
          <t>Las aperturas o reportes se registran en días anteriores</t>
        </is>
      </c>
      <c r="E43" s="10" t="inlineStr">
        <is>
          <t>{"manual":"zona horaria incorrecta"}</t>
        </is>
      </c>
      <c r="F43" s="10" t="inlineStr">
        <is>
          <t>La PC tiene otra zona horaria y las aperturas de caja se registran en días anteriores.</t>
        </is>
      </c>
      <c r="G43" s="10" t="inlineStr">
        <is>
          <t>Configurar la zona horaria de Perú (UTC-5) en todas las PC que usan el sistema.</t>
        </is>
      </c>
      <c r="H43" s="10" t="inlineStr">
        <is>
          <t>ID</t>
        </is>
      </c>
      <c r="I43" s="10" t="inlineStr">
        <is>
          <t>Media</t>
        </is>
      </c>
      <c r="J43" s="10" t="inlineStr"/>
      <c r="K43" s="10" t="inlineStr">
        <is>
          <t>Minuta Hotel La Confianza</t>
        </is>
      </c>
      <c r="L43" s="10" t="inlineStr">
        <is>
          <t>SI</t>
        </is>
      </c>
      <c r="M43" s="12">
        <f>IF(A43="","",COUNTIF(kb_minuta_recomendacion!$D$2:$D$2000,A43))</f>
        <v/>
      </c>
      <c r="N43" s="12">
        <f>IF(A43="","",SUMPRODUCT((kb_minuta_recomendacion!$D$2:$D$2000=A43)/COUNTIFS(kb_minuta_recomendacion!$D$2:$D$2000,kb_minuta_recomendacion!$D$2:$D$2000&amp;"",kb_minuta_recomendacion!$A$2:$A$2000,kb_minuta_recomendacion!$A$2:$A$2000&amp;"")))</f>
        <v/>
      </c>
      <c r="O43" s="12">
        <f>IF(A43="","",COUNTIF(kb_minuta_hallazgo!$F$2:$F$2000,A43))</f>
        <v/>
      </c>
    </row>
    <row r="44">
      <c r="A44" s="10" t="inlineStr">
        <is>
          <t>R36</t>
        </is>
      </c>
      <c r="B44" s="10" t="inlineStr">
        <is>
          <t>Sistema</t>
        </is>
      </c>
      <c r="C44" s="10" t="inlineStr">
        <is>
          <t>Dejar cargar el sistema antes de operar</t>
        </is>
      </c>
      <c r="D44" s="10" t="inlineStr">
        <is>
          <t>Internet lento o de alta latencia</t>
        </is>
      </c>
      <c r="E44" s="10" t="inlineStr">
        <is>
          <t>{"manual":"internet de alta latencia"}</t>
        </is>
      </c>
      <c r="F44" s="10" t="inlineStr">
        <is>
          <t>Con internet lento, operar antes de que cargue el sistema mezcla o duplica datos.</t>
        </is>
      </c>
      <c r="G44" s="10" t="inlineStr">
        <is>
          <t>Esperar a que IDPos cargue por completo antes de operar, sobre todo después de actualizaciones.</t>
        </is>
      </c>
      <c r="H44" s="10" t="inlineStr">
        <is>
          <t>Cliente</t>
        </is>
      </c>
      <c r="I44" s="10" t="inlineStr">
        <is>
          <t>Baja</t>
        </is>
      </c>
      <c r="J44" s="10" t="inlineStr"/>
      <c r="K44" s="10" t="inlineStr">
        <is>
          <t>Minuta Hotel La Confianza</t>
        </is>
      </c>
      <c r="L44" s="10" t="inlineStr">
        <is>
          <t>SI</t>
        </is>
      </c>
      <c r="M44" s="12">
        <f>IF(A44="","",COUNTIF(kb_minuta_recomendacion!$D$2:$D$2000,A44))</f>
        <v/>
      </c>
      <c r="N44" s="12">
        <f>IF(A44="","",SUMPRODUCT((kb_minuta_recomendacion!$D$2:$D$2000=A44)/COUNTIFS(kb_minuta_recomendacion!$D$2:$D$2000,kb_minuta_recomendacion!$D$2:$D$2000&amp;"",kb_minuta_recomendacion!$A$2:$A$2000,kb_minuta_recomendacion!$A$2:$A$2000&amp;"")))</f>
        <v/>
      </c>
      <c r="O44" s="12">
        <f>IF(A44="","",COUNTIF(kb_minuta_hallazgo!$F$2:$F$2000,A44))</f>
        <v/>
      </c>
    </row>
    <row r="45">
      <c r="A45" s="10" t="inlineStr">
        <is>
          <t>R37</t>
        </is>
      </c>
      <c r="B45" s="10" t="inlineStr">
        <is>
          <t>Cableado</t>
        </is>
      </c>
      <c r="C45" s="10" t="inlineStr">
        <is>
          <t>Cambiar conectores de red desgastados</t>
        </is>
      </c>
      <c r="D45" s="10" t="inlineStr">
        <is>
          <t>Conectores RJ45 holgados o gastados en impresoras o equipos</t>
        </is>
      </c>
      <c r="E45" s="10" t="inlineStr">
        <is>
          <t>{"manual":"conectores holgados"}</t>
        </is>
      </c>
      <c r="F45" s="10" t="inlineStr">
        <is>
          <t>Los conectores de los cables de red están holgados y pueden causar intermitencia.</t>
        </is>
      </c>
      <c r="G45" s="10" t="inlineStr">
        <is>
          <t>Cambiar los conectores RJ45 desgastados de las impresoras y probar la conexión.</t>
        </is>
      </c>
      <c r="H45" s="10" t="inlineStr">
        <is>
          <t>Cliente</t>
        </is>
      </c>
      <c r="I45" s="10" t="inlineStr">
        <is>
          <t>Media</t>
        </is>
      </c>
      <c r="J45" s="10" t="inlineStr">
        <is>
          <t>EQ-CABLE-CAT6</t>
        </is>
      </c>
      <c r="K45" s="10" t="inlineStr">
        <is>
          <t>Minuta RKT Bayóvar</t>
        </is>
      </c>
      <c r="L45" s="10" t="inlineStr">
        <is>
          <t>SI</t>
        </is>
      </c>
      <c r="M45" s="12">
        <f>IF(A45="","",COUNTIF(kb_minuta_recomendacion!$D$2:$D$2000,A45))</f>
        <v/>
      </c>
      <c r="N45" s="12">
        <f>IF(A45="","",SUMPRODUCT((kb_minuta_recomendacion!$D$2:$D$2000=A45)/COUNTIFS(kb_minuta_recomendacion!$D$2:$D$2000,kb_minuta_recomendacion!$D$2:$D$2000&amp;"",kb_minuta_recomendacion!$A$2:$A$2000,kb_minuta_recomendacion!$A$2:$A$2000&amp;"")))</f>
        <v/>
      </c>
      <c r="O45" s="12">
        <f>IF(A45="","",COUNTIF(kb_minuta_hallazgo!$F$2:$F$2000,A45))</f>
        <v/>
      </c>
    </row>
    <row r="46">
      <c r="A46" s="10" t="inlineStr">
        <is>
          <t>R38</t>
        </is>
      </c>
      <c r="B46" s="10" t="inlineStr">
        <is>
          <t>Impresión</t>
        </is>
      </c>
      <c r="C46" s="10" t="inlineStr">
        <is>
          <t>Impresora para área que prepara sin comandas</t>
        </is>
      </c>
      <c r="D46" s="10" t="inlineStr">
        <is>
          <t>Un área de P25 queda sin impresora (aviso A_SIN_IMPRESORA)</t>
        </is>
      </c>
      <c r="E46" s="10" t="inlineStr">
        <is>
          <t>{"notEmpty":"$derived.areasSinImpresora"}</t>
        </is>
      </c>
      <c r="F46" s="10" t="inlineStr">
        <is>
          <t>Un área prepara pedidos sin recibir comandas impresas.</t>
        </is>
      </c>
      <c r="G46" s="10" t="inlineStr">
        <is>
          <t>Instalar una impresora ticketera de red en el área, con su punto de red, para comandas y pre-cuentas.</t>
        </is>
      </c>
      <c r="H46" s="10" t="inlineStr">
        <is>
          <t>Cliente</t>
        </is>
      </c>
      <c r="I46" s="10" t="inlineStr">
        <is>
          <t>Alta</t>
        </is>
      </c>
      <c r="J46" s="10" t="inlineStr"/>
      <c r="K46" s="10" t="inlineStr">
        <is>
          <t>Minuta RKT Mariscal (barra del piso 2); flujo (P32)</t>
        </is>
      </c>
      <c r="L46" s="10" t="inlineStr">
        <is>
          <t>SI</t>
        </is>
      </c>
      <c r="M46" s="12">
        <f>IF(A46="","",COUNTIF(kb_minuta_recomendacion!$D$2:$D$2000,A46))</f>
        <v/>
      </c>
      <c r="N46" s="12">
        <f>IF(A46="","",SUMPRODUCT((kb_minuta_recomendacion!$D$2:$D$2000=A46)/COUNTIFS(kb_minuta_recomendacion!$D$2:$D$2000,kb_minuta_recomendacion!$D$2:$D$2000&amp;"",kb_minuta_recomendacion!$A$2:$A$2000,kb_minuta_recomendacion!$A$2:$A$2000&amp;"")))</f>
        <v/>
      </c>
      <c r="O46" s="12">
        <f>IF(A46="","",COUNTIF(kb_minuta_hallazgo!$F$2:$F$2000,A46))</f>
        <v/>
      </c>
    </row>
    <row r="47">
      <c r="A47" s="10" t="inlineStr">
        <is>
          <t>R39</t>
        </is>
      </c>
      <c r="B47" s="10" t="inlineStr">
        <is>
          <t>Equipamiento</t>
        </is>
      </c>
      <c r="C47" s="10" t="inlineStr">
        <is>
          <t>Equipo de pedidos adicional por piso</t>
        </is>
      </c>
      <c r="D47" s="10" t="inlineStr">
        <is>
          <t>P10 &gt; 1 y un solo equipo para tomar pedidos</t>
        </is>
      </c>
      <c r="E47" s="10" t="inlineStr">
        <is>
          <t>{"gt":["$P10",1]}</t>
        </is>
      </c>
      <c r="F47" s="10" t="inlineStr">
        <is>
          <t>Hay más de un piso y un solo equipo para tomar pedidos.</t>
        </is>
      </c>
      <c r="G47" s="10" t="inlineStr">
        <is>
          <t>Contar con una tablet o monitor de pedidos adicional en el otro piso para agilizar el ingreso de órdenes.</t>
        </is>
      </c>
      <c r="H47" s="10" t="inlineStr">
        <is>
          <t>Cliente</t>
        </is>
      </c>
      <c r="I47" s="10" t="inlineStr">
        <is>
          <t>Baja</t>
        </is>
      </c>
      <c r="J47" s="10" t="inlineStr"/>
      <c r="K47" s="10" t="inlineStr">
        <is>
          <t>Minutas RKT Calle 8 y Malala</t>
        </is>
      </c>
      <c r="L47" s="10" t="inlineStr">
        <is>
          <t>SI</t>
        </is>
      </c>
      <c r="M47" s="12">
        <f>IF(A47="","",COUNTIF(kb_minuta_recomendacion!$D$2:$D$2000,A47))</f>
        <v/>
      </c>
      <c r="N47" s="12">
        <f>IF(A47="","",SUMPRODUCT((kb_minuta_recomendacion!$D$2:$D$2000=A47)/COUNTIFS(kb_minuta_recomendacion!$D$2:$D$2000,kb_minuta_recomendacion!$D$2:$D$2000&amp;"",kb_minuta_recomendacion!$A$2:$A$2000,kb_minuta_recomendacion!$A$2:$A$2000&amp;"")))</f>
        <v/>
      </c>
      <c r="O47" s="12">
        <f>IF(A47="","",COUNTIF(kb_minuta_hallazgo!$F$2:$F$2000,A47))</f>
        <v/>
      </c>
    </row>
    <row r="48">
      <c r="A48" s="10" t="inlineStr">
        <is>
          <t>A08</t>
        </is>
      </c>
      <c r="B48" s="10" t="inlineStr">
        <is>
          <t>Acción estándar</t>
        </is>
      </c>
      <c r="C48" s="10" t="inlineStr">
        <is>
          <t>Confirmar fecha de inicio con IDPos</t>
        </is>
      </c>
      <c r="D48" s="10" t="inlineStr">
        <is>
          <t>El técnico indica una fecha de inicio (P50b)</t>
        </is>
      </c>
      <c r="E48" s="10" t="inlineStr">
        <is>
          <t>{"notEmpty":"$P50b"}</t>
        </is>
      </c>
      <c r="F48" s="10" t="inlineStr"/>
      <c r="G48" s="10" t="inlineStr">
        <is>
          <t>Confirmar la fecha de inicio con IDPos.</t>
        </is>
      </c>
      <c r="H48" s="10" t="inlineStr">
        <is>
          <t>Cliente</t>
        </is>
      </c>
      <c r="I48" s="10" t="inlineStr">
        <is>
          <t>Alta</t>
        </is>
      </c>
      <c r="J48" s="10" t="inlineStr"/>
      <c r="K48" s="10" t="inlineStr">
        <is>
          <t>Minutas Gelato Alore</t>
        </is>
      </c>
      <c r="L48" s="10" t="inlineStr">
        <is>
          <t>SI</t>
        </is>
      </c>
      <c r="M48" s="12">
        <f>IF(A48="","",COUNTIF(kb_minuta_recomendacion!$D$2:$D$2000,A48))</f>
        <v/>
      </c>
      <c r="N48" s="12">
        <f>IF(A48="","",SUMPRODUCT((kb_minuta_recomendacion!$D$2:$D$2000=A48)/COUNTIFS(kb_minuta_recomendacion!$D$2:$D$2000,kb_minuta_recomendacion!$D$2:$D$2000&amp;"",kb_minuta_recomendacion!$A$2:$A$2000,kb_minuta_recomendacion!$A$2:$A$2000&amp;"")))</f>
        <v/>
      </c>
      <c r="O48" s="12">
        <f>IF(A48="","",COUNTIF(kb_minuta_hallazgo!$F$2:$F$2000,A48))</f>
        <v/>
      </c>
    </row>
    <row r="49">
      <c r="A49" s="10" t="inlineStr">
        <is>
          <t>A09</t>
        </is>
      </c>
      <c r="B49" s="10" t="inlineStr">
        <is>
          <t>Acción estándar</t>
        </is>
      </c>
      <c r="C49" s="10" t="inlineStr">
        <is>
          <t>Seguimiento al local</t>
        </is>
      </c>
      <c r="D49" s="10" t="inlineStr">
        <is>
          <t>Estado del local En obra o Por inaugurar, o hay trabajos pendientes</t>
        </is>
      </c>
      <c r="E49" s="10" t="inlineStr">
        <is>
          <t>{"in":["$P08",["EN_OBRA","POR_INAUGURAR"]]}</t>
        </is>
      </c>
      <c r="F49" s="10" t="inlineStr"/>
      <c r="G49" s="10" t="inlineStr">
        <is>
          <t>Dar seguimiento a la red del local (remoto o videollamada) después de la visita.</t>
        </is>
      </c>
      <c r="H49" s="10" t="inlineStr">
        <is>
          <t>ID</t>
        </is>
      </c>
      <c r="I49" s="10" t="inlineStr">
        <is>
          <t>Media</t>
        </is>
      </c>
      <c r="J49" s="10" t="inlineStr"/>
      <c r="K49" s="10" t="inlineStr">
        <is>
          <t>Minutas Dorcher San Miguel y Hotel La Confianza</t>
        </is>
      </c>
      <c r="L49" s="10" t="inlineStr">
        <is>
          <t>SI</t>
        </is>
      </c>
      <c r="M49" s="12">
        <f>IF(A49="","",COUNTIF(kb_minuta_recomendacion!$D$2:$D$2000,A49))</f>
        <v/>
      </c>
      <c r="N49" s="12">
        <f>IF(A49="","",SUMPRODUCT((kb_minuta_recomendacion!$D$2:$D$2000=A49)/COUNTIFS(kb_minuta_recomendacion!$D$2:$D$2000,kb_minuta_recomendacion!$D$2:$D$2000&amp;"",kb_minuta_recomendacion!$A$2:$A$2000,kb_minuta_recomendacion!$A$2:$A$2000&amp;"")))</f>
        <v/>
      </c>
      <c r="O49" s="12">
        <f>IF(A49="","",COUNTIF(kb_minuta_hallazgo!$F$2:$F$2000,A49))</f>
        <v/>
      </c>
    </row>
    <row r="50">
      <c r="A50" s="10" t="inlineStr">
        <is>
          <t>A10</t>
        </is>
      </c>
      <c r="B50" s="10" t="inlineStr">
        <is>
          <t>Acción estándar</t>
        </is>
      </c>
      <c r="C50" s="10" t="inlineStr">
        <is>
          <t>Configurar el sistema de impresiones</t>
        </is>
      </c>
      <c r="D50" s="10" t="inlineStr">
        <is>
          <t>Hay controlador de impresiones por instalar (PC, laptop o Raspberry)</t>
        </is>
      </c>
      <c r="E50" s="10" t="inlineStr">
        <is>
          <t>{"manual":"controlador por instalar"}</t>
        </is>
      </c>
      <c r="F50" s="10" t="inlineStr"/>
      <c r="G50" s="10" t="inlineStr">
        <is>
          <t>Configurar el sistema de impresiones en la PC de caja o el Raspberry.</t>
        </is>
      </c>
      <c r="H50" s="10" t="inlineStr">
        <is>
          <t>ID</t>
        </is>
      </c>
      <c r="I50" s="10" t="inlineStr">
        <is>
          <t>Alta</t>
        </is>
      </c>
      <c r="J50" s="10" t="inlineStr"/>
      <c r="K50" s="10" t="inlineStr">
        <is>
          <t>Minuta RKT Hacienda</t>
        </is>
      </c>
      <c r="L50" s="10" t="inlineStr">
        <is>
          <t>SI</t>
        </is>
      </c>
      <c r="M50" s="12">
        <f>IF(A50="","",COUNTIF(kb_minuta_recomendacion!$D$2:$D$2000,A50))</f>
        <v/>
      </c>
      <c r="N50" s="12">
        <f>IF(A50="","",SUMPRODUCT((kb_minuta_recomendacion!$D$2:$D$2000=A50)/COUNTIFS(kb_minuta_recomendacion!$D$2:$D$2000,kb_minuta_recomendacion!$D$2:$D$2000&amp;"",kb_minuta_recomendacion!$A$2:$A$2000,kb_minuta_recomendacion!$A$2:$A$2000&amp;"")))</f>
        <v/>
      </c>
      <c r="O50" s="12">
        <f>IF(A50="","",COUNTIF(kb_minuta_hallazgo!$F$2:$F$2000,A50))</f>
        <v/>
      </c>
    </row>
    <row r="51">
      <c r="A51" s="10" t="inlineStr">
        <is>
          <t>A11</t>
        </is>
      </c>
      <c r="B51" s="10" t="inlineStr">
        <is>
          <t>Acción estándar</t>
        </is>
      </c>
      <c r="C51" s="10" t="inlineStr">
        <is>
          <t>Cotizar o confirmar compra de equipos</t>
        </is>
      </c>
      <c r="D51" s="10" t="inlineStr">
        <is>
          <t>Hay equipos recomendados</t>
        </is>
      </c>
      <c r="E51" s="10" t="inlineStr">
        <is>
          <t>{"manual":"equipos recomendados"}</t>
        </is>
      </c>
      <c r="F51" s="10" t="inlineStr"/>
      <c r="G51" s="10" t="inlineStr">
        <is>
          <t>Solicitar o confirmar la cotización de los equipos recomendados.</t>
        </is>
      </c>
      <c r="H51" s="10" t="inlineStr">
        <is>
          <t>Cliente</t>
        </is>
      </c>
      <c r="I51" s="10" t="inlineStr">
        <is>
          <t>Media</t>
        </is>
      </c>
      <c r="J51" s="10" t="inlineStr"/>
      <c r="K51" s="10" t="inlineStr">
        <is>
          <t>Minutas RKT y Gelato Alore</t>
        </is>
      </c>
      <c r="L51" s="10" t="inlineStr">
        <is>
          <t>SI</t>
        </is>
      </c>
      <c r="M51" s="12">
        <f>IF(A51="","",COUNTIF(kb_minuta_recomendacion!$D$2:$D$2000,A51))</f>
        <v/>
      </c>
      <c r="N51" s="12">
        <f>IF(A51="","",SUMPRODUCT((kb_minuta_recomendacion!$D$2:$D$2000=A51)/COUNTIFS(kb_minuta_recomendacion!$D$2:$D$2000,kb_minuta_recomendacion!$D$2:$D$2000&amp;"",kb_minuta_recomendacion!$A$2:$A$2000,kb_minuta_recomendacion!$A$2:$A$2000&amp;"")))</f>
        <v/>
      </c>
      <c r="O51" s="12">
        <f>IF(A51="","",COUNTIF(kb_minuta_hallazgo!$F$2:$F$2000,A51))</f>
        <v/>
      </c>
    </row>
    <row r="52">
      <c r="A52" s="10" t="inlineStr">
        <is>
          <t>A12</t>
        </is>
      </c>
      <c r="B52" s="10" t="inlineStr">
        <is>
          <t>Acción estándar</t>
        </is>
      </c>
      <c r="C52" s="10" t="inlineStr">
        <is>
          <t>Avisar cuando la instalación esté lista</t>
        </is>
      </c>
      <c r="D52" s="10" t="inlineStr">
        <is>
          <t>Hay trabajos pendientes del cliente (punto de red, switch, impresora)</t>
        </is>
      </c>
      <c r="E52" s="10" t="inlineStr">
        <is>
          <t>{"manual":"trabajo pendiente del cliente"}</t>
        </is>
      </c>
      <c r="F52" s="10" t="inlineStr"/>
      <c r="G52" s="10" t="inlineStr">
        <is>
          <t>Avisar a ID cuando el punto de red, el switch o la impresora estén instalados para configurarlos.</t>
        </is>
      </c>
      <c r="H52" s="10" t="inlineStr">
        <is>
          <t>Cliente</t>
        </is>
      </c>
      <c r="I52" s="10" t="inlineStr">
        <is>
          <t>Media</t>
        </is>
      </c>
      <c r="J52" s="10" t="inlineStr"/>
      <c r="K52" s="10" t="inlineStr">
        <is>
          <t>Minutas RKT Banchero, Villa Flores y Zárate</t>
        </is>
      </c>
      <c r="L52" s="10" t="inlineStr">
        <is>
          <t>SI</t>
        </is>
      </c>
      <c r="M52" s="12">
        <f>IF(A52="","",COUNTIF(kb_minuta_recomendacion!$D$2:$D$2000,A52))</f>
        <v/>
      </c>
      <c r="N52" s="12">
        <f>IF(A52="","",SUMPRODUCT((kb_minuta_recomendacion!$D$2:$D$2000=A52)/COUNTIFS(kb_minuta_recomendacion!$D$2:$D$2000,kb_minuta_recomendacion!$D$2:$D$2000&amp;"",kb_minuta_recomendacion!$A$2:$A$2000,kb_minuta_recomendacion!$A$2:$A$2000&amp;"")))</f>
        <v/>
      </c>
      <c r="O52" s="12">
        <f>IF(A52="","",COUNTIF(kb_minuta_hallazgo!$F$2:$F$2000,A52))</f>
        <v/>
      </c>
    </row>
    <row r="53">
      <c r="A53" s="10" t="inlineStr">
        <is>
          <t>R40</t>
        </is>
      </c>
      <c r="B53" s="10" t="inlineStr">
        <is>
          <t>Impresión</t>
        </is>
      </c>
      <c r="C53" s="10" t="inlineStr">
        <is>
          <t>Controlador de impresiones en la PC o laptop</t>
        </is>
      </c>
      <c r="D53" s="10" t="inlineStr">
        <is>
          <t>P12a = Sí y P22 = PC o Laptop</t>
        </is>
      </c>
      <c r="E53" s="10" t="inlineStr">
        <is>
          <t>{"and":[{"eq":["$derived.necesitaComandas",true]},{"eq":["$P22","SI"]}]}</t>
        </is>
      </c>
      <c r="F53" s="10" t="inlineStr">
        <is>
          <t>El negocio necesita comandas y hay PC o laptop en caja.</t>
        </is>
      </c>
      <c r="G53" s="10" t="inlineStr">
        <is>
          <t>Instalar el controlador (sistema de impresiones) en la PC o laptop de caja. Con él, la impresora USB de caja imprime comandas, pre-cuentas y comprobantes, y las impresoras de red de otras áreas también imprimen las tres.</t>
        </is>
      </c>
      <c r="H53" s="10" t="inlineStr">
        <is>
          <t>ID</t>
        </is>
      </c>
      <c r="I53" s="10" t="inlineStr">
        <is>
          <t>Alta</t>
        </is>
      </c>
      <c r="J53" s="10" t="inlineStr"/>
      <c r="K53" s="10" t="inlineStr">
        <is>
          <t>Regla de negocio IDPos (2026-10-06); minuta RKT Hacienda</t>
        </is>
      </c>
      <c r="L53" s="10" t="inlineStr">
        <is>
          <t>SI</t>
        </is>
      </c>
      <c r="M53" s="12">
        <f>IF(A53="","",COUNTIF(kb_minuta_recomendacion!$D$2:$D$2000,A53))</f>
        <v/>
      </c>
      <c r="N53" s="12">
        <f>IF(A53="","",SUMPRODUCT((kb_minuta_recomendacion!$D$2:$D$2000=A53)/COUNTIFS(kb_minuta_recomendacion!$D$2:$D$2000,kb_minuta_recomendacion!$D$2:$D$2000&amp;"",kb_minuta_recomendacion!$A$2:$A$2000,kb_minuta_recomendacion!$A$2:$A$2000&amp;"")))</f>
        <v/>
      </c>
      <c r="O53" s="12">
        <f>IF(A53="","",COUNTIF(kb_minuta_hallazgo!$F$2:$F$2000,A53))</f>
        <v/>
      </c>
    </row>
    <row r="54">
      <c r="A54" s="10" t="inlineStr">
        <is>
          <t>R41</t>
        </is>
      </c>
      <c r="B54" s="10" t="inlineStr">
        <is>
          <t>Impresión</t>
        </is>
      </c>
      <c r="C54" s="10" t="inlineStr">
        <is>
          <t>Laptop o PC básica con USB, sin controlador</t>
        </is>
      </c>
      <c r="D54" s="10" t="inlineStr">
        <is>
          <t>P12a = No y P22 = No hay</t>
        </is>
      </c>
      <c r="E54" s="10" t="inlineStr">
        <is>
          <t>{"and":[{"eq":["$derived.necesitaComandas",false]},{"eq":["$P12b","NO"]},{"in":["$P22",["NO","NO_SE","OTRO"]]}]}</t>
        </is>
      </c>
      <c r="F54" s="10" t="inlineStr">
        <is>
          <t>El negocio solo imprimirá pre-cuentas y comprobantes y no tiene PC ni laptop en caja.</t>
        </is>
      </c>
      <c r="G54" s="10" t="inlineStr">
        <is>
          <t>Adquirir una laptop o PC básica con puerto USB para la impresora de caja. Como no necesita comandas, no hace falta controlador de impresiones ni Raspberry.</t>
        </is>
      </c>
      <c r="H54" s="10" t="inlineStr">
        <is>
          <t>Cliente</t>
        </is>
      </c>
      <c r="I54" s="10" t="inlineStr">
        <is>
          <t>Alta</t>
        </is>
      </c>
      <c r="J54" s="10" t="inlineStr">
        <is>
          <t>EQ-PC-BASICA</t>
        </is>
      </c>
      <c r="K54" s="10" t="inlineStr">
        <is>
          <t>Regla de negocio IDPos (2026-10-06)</t>
        </is>
      </c>
      <c r="L54" s="10" t="inlineStr">
        <is>
          <t>SI</t>
        </is>
      </c>
      <c r="M54" s="12">
        <f>IF(A54="","",COUNTIF(kb_minuta_recomendacion!$D$2:$D$2000,A54))</f>
        <v/>
      </c>
      <c r="N54" s="12">
        <f>IF(A54="","",SUMPRODUCT((kb_minuta_recomendacion!$D$2:$D$2000=A54)/COUNTIFS(kb_minuta_recomendacion!$D$2:$D$2000,kb_minuta_recomendacion!$D$2:$D$2000&amp;"",kb_minuta_recomendacion!$A$2:$A$2000,kb_minuta_recomendacion!$A$2:$A$2000&amp;"")))</f>
        <v/>
      </c>
      <c r="O54" s="12">
        <f>IF(A54="","",COUNTIF(kb_minuta_hallazgo!$F$2:$F$2000,A54))</f>
        <v/>
      </c>
    </row>
    <row r="55">
      <c r="A55" s="10" t="inlineStr">
        <is>
          <t>R43</t>
        </is>
      </c>
      <c r="B55" s="10" t="inlineStr">
        <is>
          <t>Impresión</t>
        </is>
      </c>
      <c r="C55" s="10" t="inlineStr">
        <is>
          <t>Impresora USB en caja: laptop o PC con controlador</t>
        </is>
      </c>
      <c r="D55" s="10" t="inlineStr">
        <is>
          <t>Necesita comandas (deducido), P22 = No, No sé u Otro y la impresora de caja es USB (deducido de P27 + P30)</t>
        </is>
      </c>
      <c r="E55" s="10" t="inlineStr">
        <is>
          <t>{"and":[{"eq":["$derived.necesitaComandas",true]},{"in":["$P22",["NO","NO_SE","OTRO"]]},{"eq":["$derived.conexionImpresoraCaja","USB"]}]}</t>
        </is>
      </c>
      <c r="F55" s="10" t="inlineStr">
        <is>
          <t>El negocio necesita comandas, no hay PC ni laptop y la impresora de caja es USB.</t>
        </is>
      </c>
      <c r="G55" s="10" t="inlineStr">
        <is>
          <t>Adquirir una laptop o PC para instalar el controlador de impresiones: la impresora USB solo funciona con laptop o PC, no con Raspberry. Alternativa: cambiar la impresora de caja por una de red y usar un Raspberry.</t>
        </is>
      </c>
      <c r="H55" s="10" t="inlineStr">
        <is>
          <t>Cliente</t>
        </is>
      </c>
      <c r="I55" s="10" t="inlineStr">
        <is>
          <t>Alta</t>
        </is>
      </c>
      <c r="J55" s="10" t="inlineStr">
        <is>
          <t>EQ-PC-BASICA</t>
        </is>
      </c>
      <c r="K55" s="10" t="inlineStr">
        <is>
          <t>Regla de negocio IDPos (2026-10-06)</t>
        </is>
      </c>
      <c r="L55" s="10" t="inlineStr">
        <is>
          <t>SI</t>
        </is>
      </c>
      <c r="M55" s="12">
        <f>IF(A55="","",COUNTIF(kb_minuta_recomendacion!$D$2:$D$2000,A55))</f>
        <v/>
      </c>
      <c r="N55" s="12">
        <f>IF(A55="","",SUMPRODUCT((kb_minuta_recomendacion!$D$2:$D$2000=A55)/COUNTIFS(kb_minuta_recomendacion!$D$2:$D$2000,kb_minuta_recomendacion!$D$2:$D$2000&amp;"",kb_minuta_recomendacion!$A$2:$A$2000,kb_minuta_recomendacion!$A$2:$A$2000&amp;"")))</f>
        <v/>
      </c>
      <c r="O55" s="12">
        <f>IF(A55="","",COUNTIF(kb_minuta_hallazgo!$F$2:$F$2000,A55))</f>
        <v/>
      </c>
    </row>
    <row r="56">
      <c r="A56" s="10" t="inlineStr">
        <is>
          <t>R44</t>
        </is>
      </c>
      <c r="B56" s="10" t="inlineStr">
        <is>
          <t>Impresión</t>
        </is>
      </c>
      <c r="C56" s="10" t="inlineStr">
        <is>
          <t>Sunmi cuando la comanda sale solo en caja</t>
        </is>
      </c>
      <c r="D56" s="10" t="inlineStr">
        <is>
          <t>No hay áreas de preparación (deducido de P11) y la comanda sale en caja (P12b = Sí)</t>
        </is>
      </c>
      <c r="E56" s="10" t="inlineStr">
        <is>
          <t>{"and":[{"eq":["$derived.necesitaComandas",false]},{"eq":["$P12b","SI"]}]}</t>
        </is>
      </c>
      <c r="F56" s="10" t="inlineStr">
        <is>
          <t>No hay áreas de preparación fuera de caja: la comanda se imprime en caja.</t>
        </is>
      </c>
      <c r="G56" s="10" t="inlineStr">
        <is>
          <t>Recomendar un equipo Sunmi con chip: imprime comprobantes, pre-cuentas y comandas. Antes, validar con un celular que el chip tenga señal en el local. El Sunmi se compra directamente al equipo de Desarrollo de Negocios, pidiendo cotización.</t>
        </is>
      </c>
      <c r="H56" s="10" t="inlineStr">
        <is>
          <t>Cliente</t>
        </is>
      </c>
      <c r="I56" s="10" t="inlineStr">
        <is>
          <t>Alta</t>
        </is>
      </c>
      <c r="J56" s="10" t="inlineStr">
        <is>
          <t>EQ-SUNMI</t>
        </is>
      </c>
      <c r="K56" s="10" t="inlineStr">
        <is>
          <t>Regla de negocio IDPos (2026-10-06); minuta Malala (monitor Sunmi con chip)</t>
        </is>
      </c>
      <c r="L56" s="10" t="inlineStr">
        <is>
          <t>SI</t>
        </is>
      </c>
      <c r="M56" s="12">
        <f>IF(A56="","",COUNTIF(kb_minuta_recomendacion!$D$2:$D$2000,A56))</f>
        <v/>
      </c>
      <c r="N56" s="12">
        <f>IF(A56="","",SUMPRODUCT((kb_minuta_recomendacion!$D$2:$D$2000=A56)/COUNTIFS(kb_minuta_recomendacion!$D$2:$D$2000,kb_minuta_recomendacion!$D$2:$D$2000&amp;"",kb_minuta_recomendacion!$A$2:$A$2000,kb_minuta_recomendacion!$A$2:$A$2000&amp;"")))</f>
        <v/>
      </c>
      <c r="O56" s="12">
        <f>IF(A56="","",COUNTIF(kb_minuta_hallazgo!$F$2:$F$2000,A56))</f>
        <v/>
      </c>
    </row>
    <row r="57">
      <c r="A57" s="10" t="inlineStr">
        <is>
          <t>R45</t>
        </is>
      </c>
      <c r="B57" s="10" t="inlineStr">
        <is>
          <t>Internet</t>
        </is>
      </c>
      <c r="C57" s="10" t="inlineStr">
        <is>
          <t>Router con chip cuando no hay fibra ni coaxial</t>
        </is>
      </c>
      <c r="D57" s="10" t="inlineStr">
        <is>
          <t>P14 = No tiene o No sé (se toma como sin internet), necesita comandas y P14b = Entel, Claro o Ambos</t>
        </is>
      </c>
      <c r="E57" s="10" t="inlineStr">
        <is>
          <t>{"and":[{"in":["$P14",["NO_TIENE","NO_SE"]]},{"eq":["$derived.necesitaComandas",true]},{"in":["$P14b",["ENTEL","CLARO","AMBOS"]]}]}</t>
        </is>
      </c>
      <c r="F57" s="10" t="inlineStr">
        <is>
          <t>El local no tiene internet por fibra ni cable coaxial (o el técnico no sabe, y se toma como sin internet) y el negocio necesita comandas.</t>
        </is>
      </c>
      <c r="G57" s="10" t="inlineStr">
        <is>
          <t>Recomendar un router con chip del proveedor que tuvo señal en la prueba con el celular (Entel o Claro) como internet del local.</t>
        </is>
      </c>
      <c r="H57" s="10" t="inlineStr">
        <is>
          <t>Cliente</t>
        </is>
      </c>
      <c r="I57" s="10" t="inlineStr">
        <is>
          <t>Alta</t>
        </is>
      </c>
      <c r="J57" s="10" t="inlineStr">
        <is>
          <t>EQ-ROUTER-4G</t>
        </is>
      </c>
      <c r="K57" s="10" t="inlineStr">
        <is>
          <t>Regla de negocio IDPos (2026-10-06); minutas Malala y Sicilia</t>
        </is>
      </c>
      <c r="L57" s="10" t="inlineStr">
        <is>
          <t>NO (unificada en R56)</t>
        </is>
      </c>
      <c r="M57" s="12">
        <f>IF(A57="","",COUNTIF(kb_minuta_recomendacion!$D$2:$D$2000,A57))</f>
        <v/>
      </c>
      <c r="N57" s="12">
        <f>IF(A57="","",SUMPRODUCT((kb_minuta_recomendacion!$D$2:$D$2000=A57)/COUNTIFS(kb_minuta_recomendacion!$D$2:$D$2000,kb_minuta_recomendacion!$D$2:$D$2000&amp;"",kb_minuta_recomendacion!$A$2:$A$2000,kb_minuta_recomendacion!$A$2:$A$2000&amp;"")))</f>
        <v/>
      </c>
      <c r="O57" s="12">
        <f>IF(A57="","",COUNTIF(kb_minuta_hallazgo!$F$2:$F$2000,A57))</f>
        <v/>
      </c>
    </row>
    <row r="58">
      <c r="A58" s="10" t="inlineStr">
        <is>
          <t>R46</t>
        </is>
      </c>
      <c r="B58" s="10" t="inlineStr">
        <is>
          <t>Internet</t>
        </is>
      </c>
      <c r="C58" s="10" t="inlineStr">
        <is>
          <t>Sin señal de chip ni fibra</t>
        </is>
      </c>
      <c r="D58" s="10" t="inlineStr">
        <is>
          <t>P14 = No tiene o No sé y P14b = Ninguno</t>
        </is>
      </c>
      <c r="E58" s="10" t="inlineStr">
        <is>
          <t>{"and":[{"in":["$P14",["NO_TIENE","NO_SE"]]},{"eq":["$P14b","NINGUNO"]}]}</t>
        </is>
      </c>
      <c r="F58" s="10" t="inlineStr">
        <is>
          <t>No hay fibra, cable coaxial ni señal de chip en el local.</t>
        </is>
      </c>
      <c r="G58" s="10" t="inlineStr">
        <is>
          <t>Avisar que no hay conectividad viable para el sistema; evaluar internet satelital (Starlink) y agendar una segunda visita.</t>
        </is>
      </c>
      <c r="H58" s="10" t="inlineStr">
        <is>
          <t>ID</t>
        </is>
      </c>
      <c r="I58" s="10" t="inlineStr">
        <is>
          <t>Alta</t>
        </is>
      </c>
      <c r="J58" s="10" t="inlineStr"/>
      <c r="K58" s="10" t="inlineStr">
        <is>
          <t>Propuesta (no indicada por el equipo); relacionada con R33 y la minuta Hotel La Confianza</t>
        </is>
      </c>
      <c r="L58" s="10" t="inlineStr">
        <is>
          <t>SI</t>
        </is>
      </c>
      <c r="M58" s="12">
        <f>IF(A58="","",COUNTIF(kb_minuta_recomendacion!$D$2:$D$2000,A58))</f>
        <v/>
      </c>
      <c r="N58" s="12">
        <f>IF(A58="","",SUMPRODUCT((kb_minuta_recomendacion!$D$2:$D$2000=A58)/COUNTIFS(kb_minuta_recomendacion!$D$2:$D$2000,kb_minuta_recomendacion!$D$2:$D$2000&amp;"",kb_minuta_recomendacion!$A$2:$A$2000,kb_minuta_recomendacion!$A$2:$A$2000&amp;"")))</f>
        <v/>
      </c>
      <c r="O58" s="12">
        <f>IF(A58="","",COUNTIF(kb_minuta_hallazgo!$F$2:$F$2000,A58))</f>
        <v/>
      </c>
    </row>
    <row r="59">
      <c r="A59" s="10" t="inlineStr">
        <is>
          <t>R47</t>
        </is>
      </c>
      <c r="B59" s="10" t="inlineStr">
        <is>
          <t>Impresión</t>
        </is>
      </c>
      <c r="C59" s="10" t="inlineStr">
        <is>
          <t>Tablet en caja: Raspberry obligatorio</t>
        </is>
      </c>
      <c r="D59" s="10" t="inlineStr">
        <is>
          <t>En caja hay una tablet o el negocio solo trabaja con tablets (P22 = Tablet)</t>
        </is>
      </c>
      <c r="E59" s="10" t="inlineStr">
        <is>
          <t>{"eq":["$P22","TABLET"]}</t>
        </is>
      </c>
      <c r="F59" s="10" t="inlineStr">
        <is>
          <t>La caja es una tablet (o el negocio solo usa tablets): no puede alojar el controlador de impresiones.</t>
        </is>
      </c>
      <c r="G59" s="10" t="inlineStr">
        <is>
          <t>Es obligatorio adquirir un kit Raspberry para el controlador de impresiones; las impresoras deben ser de red. El kit se cotiza con el equipo de Desarrollo de Negocios.</t>
        </is>
      </c>
      <c r="H59" s="10" t="inlineStr">
        <is>
          <t>Cliente</t>
        </is>
      </c>
      <c r="I59" s="10" t="inlineStr">
        <is>
          <t>Alta</t>
        </is>
      </c>
      <c r="J59" s="10" t="inlineStr">
        <is>
          <t>EQ-RASPBERRY</t>
        </is>
      </c>
      <c r="K59" s="10" t="inlineStr">
        <is>
          <t>Regla de negocio IDPos (2026-10-06); minutas Gelato Alore (la tablet es la caja)</t>
        </is>
      </c>
      <c r="L59" s="10" t="inlineStr">
        <is>
          <t>SI</t>
        </is>
      </c>
      <c r="M59" s="12">
        <f>IF(A59="","",COUNTIF(kb_minuta_recomendacion!$D$2:$D$2000,A59))</f>
        <v/>
      </c>
      <c r="N59" s="12">
        <f>IF(A59="","",SUMPRODUCT((kb_minuta_recomendacion!$D$2:$D$2000=A59)/COUNTIFS(kb_minuta_recomendacion!$D$2:$D$2000,kb_minuta_recomendacion!$D$2:$D$2000&amp;"",kb_minuta_recomendacion!$A$2:$A$2000,kb_minuta_recomendacion!$A$2:$A$2000&amp;"")))</f>
        <v/>
      </c>
      <c r="O59" s="12">
        <f>IF(A59="","",COUNTIF(kb_minuta_hallazgo!$F$2:$F$2000,A59))</f>
        <v/>
      </c>
    </row>
    <row r="60">
      <c r="A60" s="10" t="inlineStr">
        <is>
          <t>A13</t>
        </is>
      </c>
      <c r="B60" s="10" t="inlineStr">
        <is>
          <t>Acción estándar</t>
        </is>
      </c>
      <c r="C60" s="10" t="inlineStr">
        <is>
          <t>Cotizar Raspberry o Sunmi con Desarrollo de Negocios</t>
        </is>
      </c>
      <c r="D60" s="10" t="inlineStr">
        <is>
          <t>Se recomendó Raspberry (R02) o Sunmi (R44)</t>
        </is>
      </c>
      <c r="E60" s="10" t="inlineStr">
        <is>
          <t>{"manual":"R02 o R44 aplicadas"}</t>
        </is>
      </c>
      <c r="F60" s="10" t="inlineStr"/>
      <c r="G60" s="10" t="inlineStr">
        <is>
          <t>Pedir la cotización del kit Raspberry o del Sunmi al equipo de Desarrollo de Negocios (el Sunmi se compra directamente a ese equipo).</t>
        </is>
      </c>
      <c r="H60" s="10" t="inlineStr">
        <is>
          <t>ID</t>
        </is>
      </c>
      <c r="I60" s="10" t="inlineStr">
        <is>
          <t>Alta</t>
        </is>
      </c>
      <c r="J60" s="10" t="inlineStr"/>
      <c r="K60" s="10" t="inlineStr">
        <is>
          <t>Regla de negocio IDPos (2026-10-06)</t>
        </is>
      </c>
      <c r="L60" s="10" t="inlineStr">
        <is>
          <t>SI</t>
        </is>
      </c>
      <c r="M60" s="12">
        <f>IF(A60="","",COUNTIF(kb_minuta_recomendacion!$D$2:$D$2000,A60))</f>
        <v/>
      </c>
      <c r="N60" s="12">
        <f>IF(A60="","",SUMPRODUCT((kb_minuta_recomendacion!$D$2:$D$2000=A60)/COUNTIFS(kb_minuta_recomendacion!$D$2:$D$2000,kb_minuta_recomendacion!$D$2:$D$2000&amp;"",kb_minuta_recomendacion!$A$2:$A$2000,kb_minuta_recomendacion!$A$2:$A$2000&amp;"")))</f>
        <v/>
      </c>
      <c r="O60" s="12">
        <f>IF(A60="","",COUNTIF(kb_minuta_hallazgo!$F$2:$F$2000,A60))</f>
        <v/>
      </c>
    </row>
    <row r="61">
      <c r="A61" s="10" t="inlineStr">
        <is>
          <t>R42</t>
        </is>
      </c>
      <c r="B61" s="10" t="inlineStr">
        <is>
          <t>Impresión</t>
        </is>
      </c>
      <c r="C61" s="10" t="inlineStr">
        <is>
          <t>Sin comandas: impresora USB directa</t>
        </is>
      </c>
      <c r="D61" s="10" t="inlineStr">
        <is>
          <t>P12a = No y P22 = PC o Laptop</t>
        </is>
      </c>
      <c r="E61" s="10" t="inlineStr">
        <is>
          <t>{"and":[{"eq":["$derived.necesitaComandas",false]},{"eq":["$P12b","NO"]},{"eq":["$P22","SI"]}]}</t>
        </is>
      </c>
      <c r="F61" s="10" t="inlineStr">
        <is>
          <t>El negocio solo imprimirá pre-cuentas y comprobantes y ya tiene PC o laptop.</t>
        </is>
      </c>
      <c r="G61" s="10" t="inlineStr">
        <is>
          <t>Usar la impresora USB directo desde la PC o laptop de caja. No hace falta instalar el controlador de impresiones ni una impresora de red.</t>
        </is>
      </c>
      <c r="H61" s="10" t="inlineStr">
        <is>
          <t>ID</t>
        </is>
      </c>
      <c r="I61" s="10" t="inlineStr">
        <is>
          <t>Media</t>
        </is>
      </c>
      <c r="J61" s="10" t="inlineStr"/>
      <c r="K61" s="10" t="inlineStr">
        <is>
          <t>Regla de negocio IDPos (2026-10-06)</t>
        </is>
      </c>
      <c r="L61" s="10" t="inlineStr">
        <is>
          <t>SI</t>
        </is>
      </c>
      <c r="M61" s="12">
        <f>IF(A61="","",COUNTIF(kb_minuta_recomendacion!$D$2:$D$2000,A61))</f>
        <v/>
      </c>
      <c r="N61" s="12">
        <f>IF(A61="","",SUMPRODUCT((kb_minuta_recomendacion!$D$2:$D$2000=A61)/COUNTIFS(kb_minuta_recomendacion!$D$2:$D$2000,kb_minuta_recomendacion!$D$2:$D$2000&amp;"",kb_minuta_recomendacion!$A$2:$A$2000,kb_minuta_recomendacion!$A$2:$A$2000&amp;"")))</f>
        <v/>
      </c>
      <c r="O61" s="12">
        <f>IF(A61="","",COUNTIF(kb_minuta_hallazgo!$F$2:$F$2000,A61))</f>
        <v/>
      </c>
    </row>
    <row r="62">
      <c r="A62" s="10" t="inlineStr">
        <is>
          <t>R48</t>
        </is>
      </c>
      <c r="B62" s="10" t="inlineStr">
        <is>
          <t>Cableado</t>
        </is>
      </c>
      <c r="C62" s="10" t="inlineStr">
        <is>
          <t>Switch por falta de puertos en el router</t>
        </is>
      </c>
      <c r="D62" s="10" t="inlineStr">
        <is>
          <t>Equipos por cable (impresoras de red + PC/laptop + Raspberry + access point/repetidor principal) &gt; puertos LAN libres del router (deducido de la foto E2; P18a solo de respaldo)</t>
        </is>
      </c>
      <c r="E62" s="10" t="inlineStr">
        <is>
          <t>{"gt":["$derived.equiposCableados","$derived.puertosLibresRouter"]}</t>
        </is>
      </c>
      <c r="F62" s="10" t="inlineStr">
        <is>
          <t>El router no tiene puertos libres suficientes para todos los equipos que van por cable.</t>
        </is>
      </c>
      <c r="G62" s="10" t="inlineStr">
        <is>
          <t>Implementar un switch y los puntos de red que faltan: un extremo de cada cable en el router/switch (la central) y el otro junto a cada equipo (impresora, PC, Raspberry). Indicar al cliente cuántos puntos de red debe implementar y el tamaño del switch (5, 8, 16 o 24 puertos).</t>
        </is>
      </c>
      <c r="H62" s="10" t="inlineStr">
        <is>
          <t>Cliente</t>
        </is>
      </c>
      <c r="I62" s="10" t="inlineStr">
        <is>
          <t>Alta</t>
        </is>
      </c>
      <c r="J62" s="10" t="inlineStr">
        <is>
          <t>EQ-SWITCH-NM</t>
        </is>
      </c>
      <c r="K62" s="10" t="inlineStr">
        <is>
          <t>Regla de negocio IDPos (2026-10-06); minutas RKT Villa Flores, Gelato Alore Ejército y Malala</t>
        </is>
      </c>
      <c r="L62" s="10" t="inlineStr">
        <is>
          <t>SI</t>
        </is>
      </c>
      <c r="M62" s="12">
        <f>IF(A62="","",COUNTIF(kb_minuta_recomendacion!$D$2:$D$2000,A62))</f>
        <v/>
      </c>
      <c r="N62" s="12">
        <f>IF(A62="","",SUMPRODUCT((kb_minuta_recomendacion!$D$2:$D$2000=A62)/COUNTIFS(kb_minuta_recomendacion!$D$2:$D$2000,kb_minuta_recomendacion!$D$2:$D$2000&amp;"",kb_minuta_recomendacion!$A$2:$A$2000,kb_minuta_recomendacion!$A$2:$A$2000&amp;"")))</f>
        <v/>
      </c>
      <c r="O62" s="12">
        <f>IF(A62="","",COUNTIF(kb_minuta_hallazgo!$F$2:$F$2000,A62))</f>
        <v/>
      </c>
    </row>
    <row r="63">
      <c r="A63" s="10" t="inlineStr">
        <is>
          <t>R49</t>
        </is>
      </c>
      <c r="B63" s="10" t="inlineStr">
        <is>
          <t>Energía</t>
        </is>
      </c>
      <c r="C63" s="10" t="inlineStr">
        <is>
          <t>Punto de energía junto a cada equipo de red</t>
        </is>
      </c>
      <c r="D63" s="10" t="inlineStr">
        <is>
          <t>Equipo nuevo o existente (switch, Raspberry, impresora de red, access point, repetidor) sin toma cerca (U5 = No)</t>
        </is>
      </c>
      <c r="E63" s="10" t="inlineStr">
        <is>
          <t>{"eq":["$U5","NO"]}</t>
        </is>
      </c>
      <c r="F63" s="10" t="inlineStr">
        <is>
          <t>Un equipo de red no tiene una toma de energía cerca.</t>
        </is>
      </c>
      <c r="G63" s="10" t="inlineStr">
        <is>
          <t>Habilitar un punto de energía junto a cada equipo de red (switch, Raspberry, impresora de red, access point, repetidor). Si no es posible, indicar que necesitará un punto de energía adicional o una extensión.</t>
        </is>
      </c>
      <c r="H63" s="10" t="inlineStr">
        <is>
          <t>Cliente</t>
        </is>
      </c>
      <c r="I63" s="10" t="inlineStr">
        <is>
          <t>Alta</t>
        </is>
      </c>
      <c r="J63" s="10" t="inlineStr"/>
      <c r="K63" s="10" t="inlineStr">
        <is>
          <t>Regla de negocio IDPos (2026-10-06); subflujo U</t>
        </is>
      </c>
      <c r="L63" s="10" t="inlineStr">
        <is>
          <t>SI</t>
        </is>
      </c>
      <c r="M63" s="12">
        <f>IF(A63="","",COUNTIF(kb_minuta_recomendacion!$D$2:$D$2000,A63))</f>
        <v/>
      </c>
      <c r="N63" s="12">
        <f>IF(A63="","",SUMPRODUCT((kb_minuta_recomendacion!$D$2:$D$2000=A63)/COUNTIFS(kb_minuta_recomendacion!$D$2:$D$2000,kb_minuta_recomendacion!$D$2:$D$2000&amp;"",kb_minuta_recomendacion!$A$2:$A$2000,kb_minuta_recomendacion!$A$2:$A$2000&amp;"")))</f>
        <v/>
      </c>
      <c r="O63" s="12">
        <f>IF(A63="","",COUNTIF(kb_minuta_hallazgo!$F$2:$F$2000,A63))</f>
        <v/>
      </c>
    </row>
    <row r="64">
      <c r="A64" s="10" t="inlineStr">
        <is>
          <t>R50</t>
        </is>
      </c>
      <c r="B64" s="10" t="inlineStr">
        <is>
          <t>WiFi</t>
        </is>
      </c>
      <c r="C64" s="10" t="inlineStr">
        <is>
          <t>Repetidores: el primero con red y energía, el segundo solo energía</t>
        </is>
      </c>
      <c r="D64" s="10" t="inlineStr">
        <is>
          <t>Se recomiendan repetidores o access points (R19)</t>
        </is>
      </c>
      <c r="E64" s="10" t="inlineStr">
        <is>
          <t>{"notEmpty":"$P46"}</t>
        </is>
      </c>
      <c r="F64" s="10" t="inlineStr">
        <is>
          <t>Hay que extender la señal WiFi con repetidores o access points.</t>
        </is>
      </c>
      <c r="G64" s="10" t="inlineStr">
        <is>
          <t>El access point o el primer repetidor necesita punto de red y punto de energía cerca. Un segundo repetidor que se conecta por WiFi al primero solo necesita punto de energía.</t>
        </is>
      </c>
      <c r="H64" s="10" t="inlineStr">
        <is>
          <t>Cliente</t>
        </is>
      </c>
      <c r="I64" s="10" t="inlineStr">
        <is>
          <t>Media</t>
        </is>
      </c>
      <c r="J64" s="10" t="inlineStr"/>
      <c r="K64" s="10" t="inlineStr">
        <is>
          <t>Regla de negocio IDPos (2026-10-06); minutas RKT Calle 8, Mariscal y Zárate (repetidores)</t>
        </is>
      </c>
      <c r="L64" s="10" t="inlineStr">
        <is>
          <t>SI</t>
        </is>
      </c>
      <c r="M64" s="12">
        <f>IF(A64="","",COUNTIF(kb_minuta_recomendacion!$D$2:$D$2000,A64))</f>
        <v/>
      </c>
      <c r="N64" s="12">
        <f>IF(A64="","",SUMPRODUCT((kb_minuta_recomendacion!$D$2:$D$2000=A64)/COUNTIFS(kb_minuta_recomendacion!$D$2:$D$2000,kb_minuta_recomendacion!$D$2:$D$2000&amp;"",kb_minuta_recomendacion!$A$2:$A$2000,kb_minuta_recomendacion!$A$2:$A$2000&amp;"")))</f>
        <v/>
      </c>
      <c r="O64" s="12">
        <f>IF(A64="","",COUNTIF(kb_minuta_hallazgo!$F$2:$F$2000,A64))</f>
        <v/>
      </c>
    </row>
    <row r="65">
      <c r="A65" s="10" t="inlineStr">
        <is>
          <t>R51</t>
        </is>
      </c>
      <c r="B65" s="10" t="inlineStr">
        <is>
          <t>Impresión</t>
        </is>
      </c>
      <c r="C65" s="10" t="inlineStr">
        <is>
          <t>Impresoras de áreas de preparación: siempre de red</t>
        </is>
      </c>
      <c r="D65" s="10" t="inlineStr">
        <is>
          <t>Impresora en un área de preparación (P27 sin CAJA) con conexión USB, WiFi o Bluetooth (P30/P32c)</t>
        </is>
      </c>
      <c r="E65" s="10" t="inlineStr">
        <is>
          <t>{"and":[{"eq":["$derived.impresoraEnAreaPreparacion",true]},{"in":["$P30",["USB","WIFI","BLUETOOTH"]]}]}</t>
        </is>
      </c>
      <c r="F65" s="10" t="inlineStr">
        <is>
          <t>Una impresora de un área de preparación no está conectada por cable de red.</t>
        </is>
      </c>
      <c r="G65" s="10" t="inlineStr">
        <is>
          <t>Las impresoras de áreas de preparación (cocina, bar, jugos, brasas…) deben ser de red, conectadas por cable. Si es USB o Bluetooth, cambiarla por una impresora de red; si es WiFi, conectarla por cable.</t>
        </is>
      </c>
      <c r="H65" s="10" t="inlineStr">
        <is>
          <t>Cliente</t>
        </is>
      </c>
      <c r="I65" s="10" t="inlineStr">
        <is>
          <t>Alta</t>
        </is>
      </c>
      <c r="J65" s="10" t="inlineStr"/>
      <c r="K65" s="10" t="inlineStr">
        <is>
          <t>Regla de negocio IDPos (2026-10-06); minutas RKT (impresoras de cocina y brasas por red)</t>
        </is>
      </c>
      <c r="L65" s="10" t="inlineStr">
        <is>
          <t>SI</t>
        </is>
      </c>
      <c r="M65" s="12">
        <f>IF(A65="","",COUNTIF(kb_minuta_recomendacion!$D$2:$D$2000,A65))</f>
        <v/>
      </c>
      <c r="N65" s="12">
        <f>IF(A65="","",SUMPRODUCT((kb_minuta_recomendacion!$D$2:$D$2000=A65)/COUNTIFS(kb_minuta_recomendacion!$D$2:$D$2000,kb_minuta_recomendacion!$D$2:$D$2000&amp;"",kb_minuta_recomendacion!$A$2:$A$2000,kb_minuta_recomendacion!$A$2:$A$2000&amp;"")))</f>
        <v/>
      </c>
      <c r="O65" s="12">
        <f>IF(A65="","",COUNTIF(kb_minuta_hallazgo!$F$2:$F$2000,A65))</f>
        <v/>
      </c>
    </row>
    <row r="66">
      <c r="A66" s="10" t="inlineStr">
        <is>
          <t>R52</t>
        </is>
      </c>
      <c r="B66" s="10" t="inlineStr">
        <is>
          <t>Cajas</t>
        </is>
      </c>
      <c r="C66" s="10" t="inlineStr">
        <is>
          <t>Confirmar el equipo de caja</t>
        </is>
      </c>
      <c r="D66" s="10" t="inlineStr">
        <is>
          <t>P22 = No sé u Otro</t>
        </is>
      </c>
      <c r="E66" s="10" t="inlineStr">
        <is>
          <t>{"in":["$P22",["NO_SE","OTRO"]]}</t>
        </is>
      </c>
      <c r="F66" s="10" t="inlineStr">
        <is>
          <t>No se sabe con certeza qué equipo habrá en caja.</t>
        </is>
      </c>
      <c r="G66" s="10" t="inlineStr">
        <is>
          <t>Confirmar con el cliente qué equipo usará en caja. Mientras tanto, la recomendación se calcula como si no hubiera PC ni laptop.</t>
        </is>
      </c>
      <c r="H66" s="10" t="inlineStr">
        <is>
          <t>ID</t>
        </is>
      </c>
      <c r="I66" s="10" t="inlineStr">
        <is>
          <t>Media</t>
        </is>
      </c>
      <c r="J66" s="10" t="inlineStr"/>
      <c r="K66" s="10" t="inlineStr">
        <is>
          <t>Regla de negocio IDPos (2026-10-06)</t>
        </is>
      </c>
      <c r="L66" s="10" t="inlineStr">
        <is>
          <t>SI</t>
        </is>
      </c>
      <c r="M66" s="12">
        <f>IF(A66="","",COUNTIF(kb_minuta_recomendacion!$D$2:$D$2000,A66))</f>
        <v/>
      </c>
      <c r="N66" s="12">
        <f>IF(A66="","",SUMPRODUCT((kb_minuta_recomendacion!$D$2:$D$2000=A66)/COUNTIFS(kb_minuta_recomendacion!$D$2:$D$2000,kb_minuta_recomendacion!$D$2:$D$2000&amp;"",kb_minuta_recomendacion!$A$2:$A$2000,kb_minuta_recomendacion!$A$2:$A$2000&amp;"")))</f>
        <v/>
      </c>
      <c r="O66" s="12">
        <f>IF(A66="","",COUNTIF(kb_minuta_hallazgo!$F$2:$F$2000,A66))</f>
        <v/>
      </c>
    </row>
    <row r="67">
      <c r="A67" s="10" t="inlineStr">
        <is>
          <t>R53</t>
        </is>
      </c>
      <c r="B67" s="10" t="inlineStr">
        <is>
          <t>Internet</t>
        </is>
      </c>
      <c r="C67" s="10" t="inlineStr">
        <is>
          <t>Cámaras: plan de 1000 Mbps y red separada</t>
        </is>
      </c>
      <c r="D67" s="10" t="inlineStr">
        <is>
          <t>P47 = Sí o el escáner de IP (E8) muestra cámaras</t>
        </is>
      </c>
      <c r="E67" s="10" t="inlineStr">
        <is>
          <t>{"or":[{"eq":["$P47","SI"]},{"eq":["$derived.camarasEnEscaner",true]}]}</t>
        </is>
      </c>
      <c r="F67" s="10" t="inlineStr">
        <is>
          <t>Hay cámaras de seguridad: consumen ancho de banda y compiten con el sistema de impresiones.</t>
        </is>
      </c>
      <c r="G67" s="10" t="inlineStr">
        <is>
          <t>Contratar un plan de 1000 Mbps y separar la red de cámaras de la red de PC, sistema de impresiones e impresoras de red (VLAN o router aparte), para que las cámaras no consuman la velocidad del sistema.</t>
        </is>
      </c>
      <c r="H67" s="10" t="inlineStr">
        <is>
          <t>Cliente</t>
        </is>
      </c>
      <c r="I67" s="10" t="inlineStr">
        <is>
          <t>Alta</t>
        </is>
      </c>
      <c r="J67" s="10" t="inlineStr">
        <is>
          <t>EQ-SWITCH-ADM</t>
        </is>
      </c>
      <c r="K67" s="10" t="inlineStr">
        <is>
          <t>Regla de negocio IDPos (2026-10-08)</t>
        </is>
      </c>
      <c r="L67" s="10" t="inlineStr">
        <is>
          <t>SI</t>
        </is>
      </c>
      <c r="M67" s="12">
        <f>IF(A67="","",COUNTIF(kb_minuta_recomendacion!$D$2:$D$2000,A67))</f>
        <v/>
      </c>
      <c r="N67" s="12">
        <f>IF(A67="","",SUMPRODUCT((kb_minuta_recomendacion!$D$2:$D$2000=A67)/COUNTIFS(kb_minuta_recomendacion!$D$2:$D$2000,kb_minuta_recomendacion!$D$2:$D$2000&amp;"",kb_minuta_recomendacion!$A$2:$A$2000,kb_minuta_recomendacion!$A$2:$A$2000&amp;"")))</f>
        <v/>
      </c>
      <c r="O67" s="12">
        <f>IF(A67="","",COUNTIF(kb_minuta_hallazgo!$F$2:$F$2000,A67))</f>
        <v/>
      </c>
    </row>
    <row r="68">
      <c r="A68" s="10" t="inlineStr">
        <is>
          <t>R54</t>
        </is>
      </c>
      <c r="B68" s="10" t="inlineStr">
        <is>
          <t>Internet</t>
        </is>
      </c>
      <c r="C68" s="10" t="inlineStr">
        <is>
          <t>Plan insuficiente: 200 Mbps por salón</t>
        </is>
      </c>
      <c r="D68" s="10" t="inlineStr">
        <is>
          <t>Plan contratado (P15) &lt; 200 Mbps × número de salones (Salón 1, Salón 2, Terraza…)</t>
        </is>
      </c>
      <c r="E68" s="10" t="inlineStr">
        <is>
          <t>{"lt":["$P15","$derived.planRequerido"]}</t>
        </is>
      </c>
      <c r="F68" s="10" t="inlineStr">
        <is>
          <t>El plan no alcanza 200 Mbps por salón; con salones por repetir la señal llega débil y soporta pocos dispositivos.</t>
        </is>
      </c>
      <c r="G68" s="10" t="inlineStr">
        <is>
          <t>Aumentar el plan a 200 Mbps por salón (mínimo unos 500 Mbps si hay que repetir señal) para mejorar la señal repetida y la conexión de más dispositivos.</t>
        </is>
      </c>
      <c r="H68" s="10" t="inlineStr">
        <is>
          <t>Cliente</t>
        </is>
      </c>
      <c r="I68" s="10" t="inlineStr">
        <is>
          <t>Alta</t>
        </is>
      </c>
      <c r="J68" s="10" t="inlineStr"/>
      <c r="K68" s="10" t="inlineStr">
        <is>
          <t>Regla de negocio IDPos (2026-10-08)</t>
        </is>
      </c>
      <c r="L68" s="10" t="inlineStr">
        <is>
          <t>SI</t>
        </is>
      </c>
      <c r="M68" s="12">
        <f>IF(A68="","",COUNTIF(kb_minuta_recomendacion!$D$2:$D$2000,A68))</f>
        <v/>
      </c>
      <c r="N68" s="12">
        <f>IF(A68="","",SUMPRODUCT((kb_minuta_recomendacion!$D$2:$D$2000=A68)/COUNTIFS(kb_minuta_recomendacion!$D$2:$D$2000,kb_minuta_recomendacion!$D$2:$D$2000&amp;"",kb_minuta_recomendacion!$A$2:$A$2000,kb_minuta_recomendacion!$A$2:$A$2000&amp;"")))</f>
        <v/>
      </c>
      <c r="O68" s="12">
        <f>IF(A68="","",COUNTIF(kb_minuta_hallazgo!$F$2:$F$2000,A68))</f>
        <v/>
      </c>
    </row>
    <row r="69">
      <c r="A69" s="10" t="inlineStr">
        <is>
          <t>R55</t>
        </is>
      </c>
      <c r="B69" s="10" t="inlineStr">
        <is>
          <t>Impresión</t>
        </is>
      </c>
      <c r="C69" s="10" t="inlineStr">
        <is>
          <t>Impresoras en el segmento del router</t>
        </is>
      </c>
      <c r="D69" s="10" t="inlineStr">
        <is>
          <t>La IP del autotest (E5) no está en el segmento de la puerta de enlace del ipconfig (E4)</t>
        </is>
      </c>
      <c r="E69" s="10" t="inlineStr">
        <is>
          <t>{"eq":["$derived.impresoraFueraDeSegmento",true]}</t>
        </is>
      </c>
      <c r="F69" s="10" t="inlineStr">
        <is>
          <t>Una impresora está en otro segmento de red que el router; el sistema no la alcanza.</t>
        </is>
      </c>
      <c r="G69" s="10" t="inlineStr">
        <is>
          <t>Cambiar la IP de la impresora a una del segmento del router (ej. router 192.168.1.1 → impresora 192.168.1.50), con DHCP desactivado, y volver a subir el autotest.</t>
        </is>
      </c>
      <c r="H69" s="10" t="inlineStr">
        <is>
          <t>ID</t>
        </is>
      </c>
      <c r="I69" s="10" t="inlineStr">
        <is>
          <t>Alta</t>
        </is>
      </c>
      <c r="J69" s="10" t="inlineStr"/>
      <c r="K69" s="10" t="inlineStr">
        <is>
          <t>Regla de negocio IDPos (2026-10-10); validación V04; minuta Dorcher (equipos en redes distintas)</t>
        </is>
      </c>
      <c r="L69" s="10" t="inlineStr">
        <is>
          <t>SI</t>
        </is>
      </c>
      <c r="M69" s="12">
        <f>IF(A69="","",COUNTIF(kb_minuta_recomendacion!$D$2:$D$2000,A69))</f>
        <v/>
      </c>
      <c r="N69" s="12">
        <f>IF(A69="","",SUMPRODUCT((kb_minuta_recomendacion!$D$2:$D$2000=A69)/COUNTIFS(kb_minuta_recomendacion!$D$2:$D$2000,kb_minuta_recomendacion!$D$2:$D$2000&amp;"",kb_minuta_recomendacion!$A$2:$A$2000,kb_minuta_recomendacion!$A$2:$A$2000&amp;"")))</f>
        <v/>
      </c>
      <c r="O69" s="12">
        <f>IF(A69="","",COUNTIF(kb_minuta_hallazgo!$F$2:$F$2000,A69))</f>
        <v/>
      </c>
    </row>
    <row r="70">
      <c r="A70" s="10" t="inlineStr">
        <is>
          <t>R56</t>
        </is>
      </c>
      <c r="B70" s="10" t="inlineStr">
        <is>
          <t>Internet</t>
        </is>
      </c>
      <c r="C70" s="10" t="inlineStr">
        <is>
          <t>Red independiente con TP-Link y chip</t>
        </is>
      </c>
      <c r="D70" s="10" t="inlineStr">
        <is>
          <t>Cualquier rubro si: hay caídas de internet (P17 = Sí), no tiene proveedor (P14 = No tiene o No sé) o la dirección (P03) menciona el patio de comidas de un centro comercial grande (Refugio, Larcomar, Real Plaza, Jockey…)</t>
        </is>
      </c>
      <c r="E70" s="10" t="inlineStr">
        <is>
          <t>{"or":[{"eq":["$P17","SI"]},{"in":["$P14",["NO_TIENE","NO_SE"]]},{"eq":["$derived.centroComercial",true]}]}</t>
        </is>
      </c>
      <c r="F70" s="10" t="inlineStr">
        <is>
          <t>El local tiene caídas de internet, no tiene proveedor o usa el internet compartido del patio de comidas de un centro comercial.</t>
        </is>
      </c>
      <c r="G70" s="10" t="inlineStr">
        <is>
          <t>Independizar la red con un TP-Link con chip y plan básico, solo para las impresoras y el equipo donde va el sistema de impresiones. Reemplaza al internet del local para la impresión (no es un respaldo); el chip (Entel o Claro) sale de la prueba de señal.</t>
        </is>
      </c>
      <c r="H70" s="10" t="inlineStr">
        <is>
          <t>Cliente</t>
        </is>
      </c>
      <c r="I70" s="10" t="inlineStr">
        <is>
          <t>Alta</t>
        </is>
      </c>
      <c r="J70" s="10" t="inlineStr">
        <is>
          <t>EQ-ROUTER-4G</t>
        </is>
      </c>
      <c r="K70" s="10" t="inlineStr">
        <is>
          <t>Regla de negocio IDPos (2026-10-10). Unifica R01 (respaldo por caídas) y R45 (sin fibra ni coaxial). El chip sale de la prueba de señal (P14b). Minutas Sicilia, Saltao, Bros, Malala, Don Chalán</t>
        </is>
      </c>
      <c r="L70" s="10" t="inlineStr">
        <is>
          <t>SI</t>
        </is>
      </c>
      <c r="M70" s="12">
        <f>IF(A70="","",COUNTIF(kb_minuta_recomendacion!$D$2:$D$2000,A70))</f>
        <v/>
      </c>
      <c r="N70" s="12">
        <f>IF(A70="","",SUMPRODUCT((kb_minuta_recomendacion!$D$2:$D$2000=A70)/COUNTIFS(kb_minuta_recomendacion!$D$2:$D$2000,kb_minuta_recomendacion!$D$2:$D$2000&amp;"",kb_minuta_recomendacion!$A$2:$A$2000,kb_minuta_recomendacion!$A$2:$A$2000&amp;"")))</f>
        <v/>
      </c>
      <c r="O70" s="12">
        <f>IF(A70="","",COUNTIF(kb_minuta_hallazgo!$F$2:$F$2000,A70))</f>
        <v/>
      </c>
    </row>
    <row r="71">
      <c r="A71" s="10" t="inlineStr">
        <is>
          <t>R57</t>
        </is>
      </c>
      <c r="B71" s="10" t="inlineStr">
        <is>
          <t>Impresión</t>
        </is>
      </c>
      <c r="C71" s="10" t="inlineStr">
        <is>
          <t>Raspberry junto al router o switch</t>
        </is>
      </c>
      <c r="D71" s="10" t="inlineStr">
        <is>
          <t>Se recomienda o ya hay Raspberry</t>
        </is>
      </c>
      <c r="E71" s="10" t="inlineStr">
        <is>
          <t>{"manual":"ubicación del raspberry"}</t>
        </is>
      </c>
      <c r="F71" s="10" t="inlineStr">
        <is>
          <t>El Raspberry está lejos del router o en una zona caliente.</t>
        </is>
      </c>
      <c r="G71" s="10" t="inlineStr">
        <is>
          <t>Ubicar el Raspberry junto al router o switch, con un cable corto, en un lugar ventilado y lejos del calor y la grasa de la cocina o la parrilla.</t>
        </is>
      </c>
      <c r="H71" s="10" t="inlineStr">
        <is>
          <t>ID</t>
        </is>
      </c>
      <c r="I71" s="10" t="inlineStr">
        <is>
          <t>Media</t>
        </is>
      </c>
      <c r="J71" s="10" t="inlineStr">
        <is>
          <t>EQ-RASPBERRY</t>
        </is>
      </c>
      <c r="K71" s="10" t="inlineStr">
        <is>
          <t>Regla de negocio IDPos (2026-10-10); caso Anticuchería Susy</t>
        </is>
      </c>
      <c r="L71" s="10" t="inlineStr">
        <is>
          <t>SI</t>
        </is>
      </c>
      <c r="M71" s="12">
        <f>IF(A71="","",COUNTIF(kb_minuta_recomendacion!$D$2:$D$2000,A71))</f>
        <v/>
      </c>
      <c r="N71" s="12">
        <f>IF(A71="","",SUMPRODUCT((kb_minuta_recomendacion!$D$2:$D$2000=A71)/COUNTIFS(kb_minuta_recomendacion!$D$2:$D$2000,kb_minuta_recomendacion!$D$2:$D$2000&amp;"",kb_minuta_recomendacion!$A$2:$A$2000,kb_minuta_recomendacion!$A$2:$A$2000&amp;"")))</f>
        <v/>
      </c>
      <c r="O71" s="12">
        <f>IF(A71="","",COUNTIF(kb_minuta_hallazgo!$F$2:$F$2000,A71))</f>
        <v/>
      </c>
    </row>
    <row r="72">
      <c r="A72" s="10" t="inlineStr">
        <is>
          <t>R58</t>
        </is>
      </c>
      <c r="B72" s="10" t="inlineStr">
        <is>
          <t>Red</t>
        </is>
      </c>
      <c r="C72" s="10" t="inlineStr">
        <is>
          <t>Switch de 1000 Mbps</t>
        </is>
      </c>
      <c r="D72" s="10" t="inlineStr">
        <is>
          <t>El switch principal es de 10/100 Mbps</t>
        </is>
      </c>
      <c r="E72" s="10" t="inlineStr">
        <is>
          <t>{"manual":"switch 10/100"}</t>
        </is>
      </c>
      <c r="F72" s="10" t="inlineStr">
        <is>
          <t>El switch es de 10/100 Mbps y limita la velocidad de las impresoras y la PC de caja.</t>
        </is>
      </c>
      <c r="G72" s="10" t="inlineStr">
        <is>
          <t>Cambiar el switch por uno de 10/100/1000 Mbps (gigabit) con los puertos necesarios.</t>
        </is>
      </c>
      <c r="H72" s="10" t="inlineStr">
        <is>
          <t>Cliente</t>
        </is>
      </c>
      <c r="I72" s="10" t="inlineStr">
        <is>
          <t>Media</t>
        </is>
      </c>
      <c r="J72" s="10" t="inlineStr">
        <is>
          <t>EQ-SWITCH-NM</t>
        </is>
      </c>
      <c r="K72" s="10" t="inlineStr">
        <is>
          <t>PROPUESTA por confirmar (2026-10-10). Minutas Shimaya (6) y El Chito</t>
        </is>
      </c>
      <c r="L72" s="10" t="inlineStr">
        <is>
          <t>SI</t>
        </is>
      </c>
      <c r="M72" s="12">
        <f>IF(A72="","",COUNTIF(kb_minuta_recomendacion!$D$2:$D$2000,A72))</f>
        <v/>
      </c>
      <c r="N72" s="12">
        <f>IF(A72="","",SUMPRODUCT((kb_minuta_recomendacion!$D$2:$D$2000=A72)/COUNTIFS(kb_minuta_recomendacion!$D$2:$D$2000,kb_minuta_recomendacion!$D$2:$D$2000&amp;"",kb_minuta_recomendacion!$A$2:$A$2000,kb_minuta_recomendacion!$A$2:$A$2000&amp;"")))</f>
        <v/>
      </c>
      <c r="O72" s="12">
        <f>IF(A72="","",COUNTIF(kb_minuta_hallazgo!$F$2:$F$2000,A72))</f>
        <v/>
      </c>
    </row>
    <row r="73">
      <c r="A73" s="10" t="inlineStr">
        <is>
          <t>R59</t>
        </is>
      </c>
      <c r="B73" s="10" t="inlineStr">
        <is>
          <t>Cableado</t>
        </is>
      </c>
      <c r="C73" s="10" t="inlineStr">
        <is>
          <t>Ponchar los cables con la norma B</t>
        </is>
      </c>
      <c r="D73" s="10" t="inlineStr">
        <is>
          <t>Cable de red mal ponchado o cruzado (norma A) entre router, switch e impresora</t>
        </is>
      </c>
      <c r="E73" s="10" t="inlineStr">
        <is>
          <t>{"manual":"cable mal ponchado"}</t>
        </is>
      </c>
      <c r="F73" s="10" t="inlineStr">
        <is>
          <t>Un cable de red está ponchado como cruzado (norma A) y el equipo pierde conexión.</t>
        </is>
      </c>
      <c r="G73" s="10" t="inlineStr">
        <is>
          <t>Ponchar de nuevo el cable con la norma T568B en ambos extremos (router → switch → impresora) y probar la conexión.</t>
        </is>
      </c>
      <c r="H73" s="10" t="inlineStr">
        <is>
          <t>ID</t>
        </is>
      </c>
      <c r="I73" s="10" t="inlineStr">
        <is>
          <t>Alta</t>
        </is>
      </c>
      <c r="J73" s="10" t="inlineStr">
        <is>
          <t>EQ-CABLE-CAT6</t>
        </is>
      </c>
      <c r="K73" s="10" t="inlineStr">
        <is>
          <t>PROPUESTA por confirmar (2026-10-10). Minuta Shimaya Los Olivos</t>
        </is>
      </c>
      <c r="L73" s="10" t="inlineStr">
        <is>
          <t>SI</t>
        </is>
      </c>
      <c r="M73" s="12">
        <f>IF(A73="","",COUNTIF(kb_minuta_recomendacion!$D$2:$D$2000,A73))</f>
        <v/>
      </c>
      <c r="N73" s="12">
        <f>IF(A73="","",SUMPRODUCT((kb_minuta_recomendacion!$D$2:$D$2000=A73)/COUNTIFS(kb_minuta_recomendacion!$D$2:$D$2000,kb_minuta_recomendacion!$D$2:$D$2000&amp;"",kb_minuta_recomendacion!$A$2:$A$2000,kb_minuta_recomendacion!$A$2:$A$2000&amp;"")))</f>
        <v/>
      </c>
      <c r="O73" s="12">
        <f>IF(A73="","",COUNTIF(kb_minuta_hallazgo!$F$2:$F$2000,A73))</f>
        <v/>
      </c>
    </row>
    <row r="74">
      <c r="A74" s="10" t="inlineStr">
        <is>
          <t>R60</t>
        </is>
      </c>
      <c r="B74" s="10" t="inlineStr">
        <is>
          <t>Cajas</t>
        </is>
      </c>
      <c r="C74" s="10" t="inlineStr">
        <is>
          <t>PC o laptop temporal: Raspberry</t>
        </is>
      </c>
      <c r="D74" s="10" t="inlineStr">
        <is>
          <t>P22g = No (la PC o laptop no se queda en el local)</t>
        </is>
      </c>
      <c r="E74" s="10" t="inlineStr">
        <is>
          <t>{"eq":["$P22g","NO"]}</t>
        </is>
      </c>
      <c r="F74" s="10" t="inlineStr">
        <is>
          <t>La PC o laptop de caja no estará siempre en el local.</t>
        </is>
      </c>
      <c r="G74" s="10" t="inlineStr">
        <is>
          <t>Tomarlo como si no hubiera PC: recomendar el kit Raspberry para el sistema de impresiones (o una PC fija del local).</t>
        </is>
      </c>
      <c r="H74" s="10" t="inlineStr">
        <is>
          <t>Cliente</t>
        </is>
      </c>
      <c r="I74" s="10" t="inlineStr">
        <is>
          <t>Alta</t>
        </is>
      </c>
      <c r="J74" s="10" t="inlineStr">
        <is>
          <t>EQ-RASPBERRY</t>
        </is>
      </c>
      <c r="K74" s="10" t="inlineStr">
        <is>
          <t>PROPUESTA por confirmar (2026-10-10). Minutas Mala Vida y Omakase</t>
        </is>
      </c>
      <c r="L74" s="10" t="inlineStr">
        <is>
          <t>SI</t>
        </is>
      </c>
      <c r="M74" s="12">
        <f>IF(A74="","",COUNTIF(kb_minuta_recomendacion!$D$2:$D$2000,A74))</f>
        <v/>
      </c>
      <c r="N74" s="12">
        <f>IF(A74="","",SUMPRODUCT((kb_minuta_recomendacion!$D$2:$D$2000=A74)/COUNTIFS(kb_minuta_recomendacion!$D$2:$D$2000,kb_minuta_recomendacion!$D$2:$D$2000&amp;"",kb_minuta_recomendacion!$A$2:$A$2000,kb_minuta_recomendacion!$A$2:$A$2000&amp;"")))</f>
        <v/>
      </c>
      <c r="O74" s="12">
        <f>IF(A74="","",COUNTIF(kb_minuta_hallazgo!$F$2:$F$2000,A74))</f>
        <v/>
      </c>
    </row>
    <row r="75">
      <c r="A75" s="10" t="inlineStr">
        <is>
          <t>R61</t>
        </is>
      </c>
      <c r="B75" s="10" t="inlineStr">
        <is>
          <t>Red</t>
        </is>
      </c>
      <c r="C75" s="10" t="inlineStr">
        <is>
          <t>Probar los puertos del router</t>
        </is>
      </c>
      <c r="D75" s="10" t="inlineStr">
        <is>
          <t>Un puerto del router no da conexión</t>
        </is>
      </c>
      <c r="E75" s="10" t="inlineStr">
        <is>
          <t>{"manual":"puerto del router dañado"}</t>
        </is>
      </c>
      <c r="F75" s="10" t="inlineStr">
        <is>
          <t>Un puerto del router no da conexión a la impresora.</t>
        </is>
      </c>
      <c r="G75" s="10" t="inlineStr">
        <is>
          <t>Probar cada puerto del router, anotar en qué puerto queda cada impresora y no cambiarla de puerto.</t>
        </is>
      </c>
      <c r="H75" s="10" t="inlineStr">
        <is>
          <t>ID</t>
        </is>
      </c>
      <c r="I75" s="10" t="inlineStr">
        <is>
          <t>Media</t>
        </is>
      </c>
      <c r="J75" s="10" t="inlineStr"/>
      <c r="K75" s="10" t="inlineStr">
        <is>
          <t>PROPUESTA por confirmar (2026-10-10). Minuta Belgofre</t>
        </is>
      </c>
      <c r="L75" s="10" t="inlineStr">
        <is>
          <t>SI</t>
        </is>
      </c>
      <c r="M75" s="12">
        <f>IF(A75="","",COUNTIF(kb_minuta_recomendacion!$D$2:$D$2000,A75))</f>
        <v/>
      </c>
      <c r="N75" s="12">
        <f>IF(A75="","",SUMPRODUCT((kb_minuta_recomendacion!$D$2:$D$2000=A75)/COUNTIFS(kb_minuta_recomendacion!$D$2:$D$2000,kb_minuta_recomendacion!$D$2:$D$2000&amp;"",kb_minuta_recomendacion!$A$2:$A$2000,kb_minuta_recomendacion!$A$2:$A$2000&amp;"")))</f>
        <v/>
      </c>
      <c r="O75" s="12">
        <f>IF(A75="","",COUNTIF(kb_minuta_hallazgo!$F$2:$F$2000,A75))</f>
        <v/>
      </c>
    </row>
    <row r="76">
      <c r="A76" s="10" t="inlineStr">
        <is>
          <t>R62</t>
        </is>
      </c>
      <c r="B76" s="10" t="inlineStr">
        <is>
          <t>Cableado</t>
        </is>
      </c>
      <c r="C76" s="10" t="inlineStr">
        <is>
          <t>Cables de cámaras lejos de la corriente</t>
        </is>
      </c>
      <c r="D76" s="10" t="inlineStr">
        <is>
          <t>Cable de red de cámaras junto a cables de corriente o equipos con motor</t>
        </is>
      </c>
      <c r="E76" s="10" t="inlineStr">
        <is>
          <t>{"manual":"cable junto a corriente o motores"}</t>
        </is>
      </c>
      <c r="F76" s="10" t="inlineStr">
        <is>
          <t>El cable de las cámaras pasa junto a la corriente o bajo un equipo con motor y genera ruido que llega al router.</t>
        </is>
      </c>
      <c r="G76" s="10" t="inlineStr">
        <is>
          <t>Canaletear el cable de red lejos de los cables de corriente y de los equipos con motor (por tubo desde el techo o por el piso).</t>
        </is>
      </c>
      <c r="H76" s="10" t="inlineStr">
        <is>
          <t>Cliente</t>
        </is>
      </c>
      <c r="I76" s="10" t="inlineStr">
        <is>
          <t>Media</t>
        </is>
      </c>
      <c r="J76" s="10" t="inlineStr"/>
      <c r="K76" s="10" t="inlineStr">
        <is>
          <t>PROPUESTA por confirmar (2026-10-10). Minuta Modonese Arica</t>
        </is>
      </c>
      <c r="L76" s="10" t="inlineStr">
        <is>
          <t>SI</t>
        </is>
      </c>
      <c r="M76" s="12">
        <f>IF(A76="","",COUNTIF(kb_minuta_recomendacion!$D$2:$D$2000,A76))</f>
        <v/>
      </c>
      <c r="N76" s="12">
        <f>IF(A76="","",SUMPRODUCT((kb_minuta_recomendacion!$D$2:$D$2000=A76)/COUNTIFS(kb_minuta_recomendacion!$D$2:$D$2000,kb_minuta_recomendacion!$D$2:$D$2000&amp;"",kb_minuta_recomendacion!$A$2:$A$2000,kb_minuta_recomendacion!$A$2:$A$2000&amp;"")))</f>
        <v/>
      </c>
      <c r="O76" s="12">
        <f>IF(A76="","",COUNTIF(kb_minuta_hallazgo!$F$2:$F$2000,A76))</f>
        <v/>
      </c>
    </row>
    <row r="77">
      <c r="A77" s="10" t="inlineStr">
        <is>
          <t>R63</t>
        </is>
      </c>
      <c r="B77" s="10" t="inlineStr">
        <is>
          <t>Retail</t>
        </is>
      </c>
      <c r="C77" s="10" t="inlineStr">
        <is>
          <t>Periféricos de caja y pruebas de funcionamiento</t>
        </is>
      </c>
      <c r="D77" s="10" t="inlineStr">
        <is>
          <t>P09 = Retail – Supermercado</t>
        </is>
      </c>
      <c r="E77" s="10" t="inlineStr">
        <is>
          <t>{"eq":["$P09","RETAIL"]}</t>
        </is>
      </c>
      <c r="F77" s="10" t="inlineStr">
        <is>
          <t>La caja usa periféricos (balanza, escáner, gaveta, impresora de etiquetas, POS) que deben integrarse al sistema.</t>
        </is>
      </c>
      <c r="G77" s="10" t="inlineStr">
        <is>
          <t>Probar en cada caja la impresión, la gaveta, el escáner, la balanza, la impresora de etiquetas y el POS de pago antes del inicio; definir qué balanza queda operativa.</t>
        </is>
      </c>
      <c r="H77" s="10" t="inlineStr">
        <is>
          <t>ID</t>
        </is>
      </c>
      <c r="I77" s="10" t="inlineStr">
        <is>
          <t>Alta</t>
        </is>
      </c>
      <c r="J77" s="10" t="inlineStr"/>
      <c r="K77" s="10" t="inlineStr">
        <is>
          <t>PROPUESTA por confirmar (2026-10-10). Minuta Flora y Fauna</t>
        </is>
      </c>
      <c r="L77" s="10" t="inlineStr">
        <is>
          <t>SI</t>
        </is>
      </c>
      <c r="M77" s="12">
        <f>IF(A77="","",COUNTIF(kb_minuta_recomendacion!$D$2:$D$2000,A77))</f>
        <v/>
      </c>
      <c r="N77" s="12">
        <f>IF(A77="","",SUMPRODUCT((kb_minuta_recomendacion!$D$2:$D$2000=A77)/COUNTIFS(kb_minuta_recomendacion!$D$2:$D$2000,kb_minuta_recomendacion!$D$2:$D$2000&amp;"",kb_minuta_recomendacion!$A$2:$A$2000,kb_minuta_recomendacion!$A$2:$A$2000&amp;"")))</f>
        <v/>
      </c>
      <c r="O77" s="12">
        <f>IF(A77="","",COUNTIF(kb_minuta_hallazgo!$F$2:$F$2000,A77))</f>
        <v/>
      </c>
    </row>
    <row r="78">
      <c r="A78" s="10" t="inlineStr">
        <is>
          <t>R64</t>
        </is>
      </c>
      <c r="B78" s="10" t="inlineStr">
        <is>
          <t>Cableado</t>
        </is>
      </c>
      <c r="C78" s="10" t="inlineStr">
        <is>
          <t>Reestructurar el cableado de red</t>
        </is>
      </c>
      <c r="D78" s="10" t="inlineStr">
        <is>
          <t>Cableado de red desordenado o improvisado</t>
        </is>
      </c>
      <c r="E78" s="10" t="inlineStr">
        <is>
          <t>{"manual":"cableado desordenado"}</t>
        </is>
      </c>
      <c r="F78" s="10" t="inlineStr">
        <is>
          <t>El cableado de red está desordenado o improvisado.</t>
        </is>
      </c>
      <c r="G78" s="10" t="inlineStr">
        <is>
          <t>Reestructurar el cableado de red con canaletas y rotulado. No impide el inicio.</t>
        </is>
      </c>
      <c r="H78" s="10" t="inlineStr">
        <is>
          <t>Cliente</t>
        </is>
      </c>
      <c r="I78" s="10" t="inlineStr">
        <is>
          <t>Baja</t>
        </is>
      </c>
      <c r="J78" s="10" t="inlineStr">
        <is>
          <t>EQ-CABLE-CAT6</t>
        </is>
      </c>
      <c r="K78" s="10" t="inlineStr">
        <is>
          <t>PROPUESTA por confirmar (2026-10-10). Minutas La Carpita del Sabor y Don Chalán</t>
        </is>
      </c>
      <c r="L78" s="10" t="inlineStr">
        <is>
          <t>SI</t>
        </is>
      </c>
      <c r="M78" s="12">
        <f>IF(A78="","",COUNTIF(kb_minuta_recomendacion!$D$2:$D$2000,A78))</f>
        <v/>
      </c>
      <c r="N78" s="12">
        <f>IF(A78="","",SUMPRODUCT((kb_minuta_recomendacion!$D$2:$D$2000=A78)/COUNTIFS(kb_minuta_recomendacion!$D$2:$D$2000,kb_minuta_recomendacion!$D$2:$D$2000&amp;"",kb_minuta_recomendacion!$A$2:$A$2000,kb_minuta_recomendacion!$A$2:$A$2000&amp;"")))</f>
        <v/>
      </c>
      <c r="O78" s="12">
        <f>IF(A78="","",COUNTIF(kb_minuta_hallazgo!$F$2:$F$2000,A78))</f>
        <v/>
      </c>
    </row>
    <row r="79">
      <c r="A79" s="10" t="inlineStr">
        <is>
          <t>R65</t>
        </is>
      </c>
      <c r="B79" s="10" t="inlineStr">
        <is>
          <t>Internet</t>
        </is>
      </c>
      <c r="C79" s="10" t="inlineStr">
        <is>
          <t>Velocidad limitada a 100 Mbps</t>
        </is>
      </c>
      <c r="D79" s="10" t="inlineStr">
        <is>
          <t>Prueba por cable entre 85 y 95 Mbps con un plan contratado mayor</t>
        </is>
      </c>
      <c r="E79" s="10" t="inlineStr">
        <is>
          <t>{"and":[{"gte":["$E1.bajadaMbps",85]},{"lte":["$E1.bajadaMbps",95]},{"gt":["$P15",100]}]}</t>
        </is>
      </c>
      <c r="F79" s="10" t="inlineStr">
        <is>
          <t>La velocidad medida parece limitada a 100 Mbps por un switch 10/100, un puerto de 100 Mbps o el cable.</t>
        </is>
      </c>
      <c r="G79" s="10" t="inlineStr">
        <is>
          <t>Repetir la prueba directo al router principal, con cable Cat6 y en un puerto RJ45 gigabit (10/100/1000) en el router y en la PC o laptop; si se confirma, cambiar el switch o el cable.</t>
        </is>
      </c>
      <c r="H79" s="10" t="inlineStr">
        <is>
          <t>ID</t>
        </is>
      </c>
      <c r="I79" s="10" t="inlineStr">
        <is>
          <t>Media</t>
        </is>
      </c>
      <c r="J79" s="10" t="inlineStr">
        <is>
          <t>EQ-CABLE-CAT6</t>
        </is>
      </c>
      <c r="K79" s="10" t="inlineStr">
        <is>
          <t>Regla definida 2026-10-11; minutas Dorcher, RKT Bayóvar, Mariscal, Hacienda, Gelato Ejército (~94 Mbps)</t>
        </is>
      </c>
      <c r="L79" s="10" t="inlineStr">
        <is>
          <t>SI</t>
        </is>
      </c>
      <c r="M79" s="12">
        <f>IF(A79="","",COUNTIF(kb_minuta_recomendacion!$D$2:$D$2000,A79))</f>
        <v/>
      </c>
      <c r="N79" s="12">
        <f>IF(A79="","",SUMPRODUCT((kb_minuta_recomendacion!$D$2:$D$2000=A79)/COUNTIFS(kb_minuta_recomendacion!$D$2:$D$2000,kb_minuta_recomendacion!$D$2:$D$2000&amp;"",kb_minuta_recomendacion!$A$2:$A$2000,kb_minuta_recomendacion!$A$2:$A$2000&amp;"")))</f>
        <v/>
      </c>
      <c r="O79" s="12">
        <f>IF(A79="","",COUNTIF(kb_minuta_hallazgo!$F$2:$F$2000,A79))</f>
        <v/>
      </c>
    </row>
    <row r="80">
      <c r="A80" s="10" t="inlineStr">
        <is>
          <t>R66</t>
        </is>
      </c>
      <c r="B80" s="10" t="inlineStr">
        <is>
          <t>Internet</t>
        </is>
      </c>
      <c r="C80" s="10" t="inlineStr">
        <is>
          <t>Saturación de la red con carga</t>
        </is>
      </c>
      <c r="D80" s="10" t="inlineStr">
        <is>
          <t>Ping durante la descarga o la subida &gt; 300 ms</t>
        </is>
      </c>
      <c r="E80" s="10" t="inlineStr">
        <is>
          <t>{"gt":["$derived.pingConCargaMax",300]}</t>
        </is>
      </c>
      <c r="F80" s="10" t="inlineStr">
        <is>
          <t>La red se satura cuando hay mucho uso: en horas punta las comandas pueden demorar.</t>
        </is>
      </c>
      <c r="G80" s="10" t="inlineStr">
        <is>
          <t>Separar el WiFi de clientes de la red del punto de venta, conectar la PC de caja por cable y, si el router lo permite, priorizar el tráfico del punto de venta.</t>
        </is>
      </c>
      <c r="H80" s="10" t="inlineStr">
        <is>
          <t>Cliente</t>
        </is>
      </c>
      <c r="I80" s="10" t="inlineStr">
        <is>
          <t>Media</t>
        </is>
      </c>
      <c r="J80" s="10" t="inlineStr"/>
      <c r="K80" s="10" t="inlineStr">
        <is>
          <t>Regla definida 2026-10-11 (pruebas de speedtest del equipo)</t>
        </is>
      </c>
      <c r="L80" s="10" t="inlineStr">
        <is>
          <t>SI</t>
        </is>
      </c>
      <c r="M80" s="12">
        <f>IF(A80="","",COUNTIF(kb_minuta_recomendacion!$D$2:$D$2000,A80))</f>
        <v/>
      </c>
      <c r="N80" s="12">
        <f>IF(A80="","",SUMPRODUCT((kb_minuta_recomendacion!$D$2:$D$2000=A80)/COUNTIFS(kb_minuta_recomendacion!$D$2:$D$2000,kb_minuta_recomendacion!$D$2:$D$2000&amp;"",kb_minuta_recomendacion!$A$2:$A$2000,kb_minuta_recomendacion!$A$2:$A$2000&amp;"")))</f>
        <v/>
      </c>
      <c r="O80" s="12">
        <f>IF(A80="","",COUNTIF(kb_minuta_hallazgo!$F$2:$F$2000,A80))</f>
        <v/>
      </c>
    </row>
    <row r="81">
      <c r="A81" s="10" t="inlineStr">
        <is>
          <t>R67</t>
        </is>
      </c>
      <c r="B81" s="10" t="inlineStr">
        <is>
          <t>Internet</t>
        </is>
      </c>
      <c r="C81" s="10" t="inlineStr">
        <is>
          <t>El internet no llega a lo contratado</t>
        </is>
      </c>
      <c r="D81" s="10" t="inlineStr">
        <is>
          <t>Mejor prueba por cable &lt; 70 % del plan contratado</t>
        </is>
      </c>
      <c r="E81" s="10" t="inlineStr">
        <is>
          <t>{"lt":["$derived.porcentajePlanCable",70]}</t>
        </is>
      </c>
      <c r="F81" s="10" t="inlineStr">
        <is>
          <t>La velocidad medida por cable junto al router está por debajo de lo contratado.</t>
        </is>
      </c>
      <c r="G81" s="10" t="inlineStr">
        <is>
          <t>Revisar el servicio con el proveedor de internet (o el router) y repetir la prueba por cable.</t>
        </is>
      </c>
      <c r="H81" s="10" t="inlineStr">
        <is>
          <t>Cliente</t>
        </is>
      </c>
      <c r="I81" s="10" t="inlineStr">
        <is>
          <t>Alta</t>
        </is>
      </c>
      <c r="J81" s="10" t="inlineStr"/>
      <c r="K81" s="10" t="inlineStr">
        <is>
          <t>Propuesta 2026-10-11 (umbral 70 % por confirmar)</t>
        </is>
      </c>
      <c r="L81" s="10" t="inlineStr">
        <is>
          <t>SI</t>
        </is>
      </c>
      <c r="M81" s="12">
        <f>IF(A81="","",COUNTIF(kb_minuta_recomendacion!$D$2:$D$2000,A81))</f>
        <v/>
      </c>
      <c r="N81" s="12">
        <f>IF(A81="","",SUMPRODUCT((kb_minuta_recomendacion!$D$2:$D$2000=A81)/COUNTIFS(kb_minuta_recomendacion!$D$2:$D$2000,kb_minuta_recomendacion!$D$2:$D$2000&amp;"",kb_minuta_recomendacion!$A$2:$A$2000,kb_minuta_recomendacion!$A$2:$A$2000&amp;"")))</f>
        <v/>
      </c>
      <c r="O81" s="12">
        <f>IF(A81="","",COUNTIF(kb_minuta_hallazgo!$F$2:$F$2000,A81))</f>
        <v/>
      </c>
    </row>
    <row r="82">
      <c r="A82" s="13" t="n"/>
      <c r="B82" s="13" t="n"/>
      <c r="C82" s="13" t="n"/>
      <c r="D82" s="13" t="n"/>
      <c r="E82" s="13" t="n"/>
      <c r="F82" s="13" t="n"/>
      <c r="G82" s="13" t="n"/>
      <c r="H82" s="13" t="n"/>
      <c r="I82" s="13" t="n"/>
      <c r="J82" s="13" t="n"/>
      <c r="K82" s="13" t="n"/>
      <c r="L82" s="13" t="n"/>
      <c r="M82" s="12">
        <f>IF(A82="","",COUNTIF(kb_minuta_recomendacion!$D$2:$D$2000,A82))</f>
        <v/>
      </c>
      <c r="N82" s="12">
        <f>IF(A82="","",SUMPRODUCT((kb_minuta_recomendacion!$D$2:$D$2000=A82)/COUNTIFS(kb_minuta_recomendacion!$D$2:$D$2000,kb_minuta_recomendacion!$D$2:$D$2000&amp;"",kb_minuta_recomendacion!$A$2:$A$2000,kb_minuta_recomendacion!$A$2:$A$2000&amp;"")))</f>
        <v/>
      </c>
      <c r="O82" s="12">
        <f>IF(A82="","",COUNTIF(kb_minuta_hallazgo!$F$2:$F$2000,A82))</f>
        <v/>
      </c>
    </row>
    <row r="83">
      <c r="A83" s="13" t="n"/>
      <c r="B83" s="13" t="n"/>
      <c r="C83" s="13" t="n"/>
      <c r="D83" s="13" t="n"/>
      <c r="E83" s="13" t="n"/>
      <c r="F83" s="13" t="n"/>
      <c r="G83" s="13" t="n"/>
      <c r="H83" s="13" t="n"/>
      <c r="I83" s="13" t="n"/>
      <c r="J83" s="13" t="n"/>
      <c r="K83" s="13" t="n"/>
      <c r="L83" s="13" t="n"/>
      <c r="M83" s="12">
        <f>IF(A83="","",COUNTIF(kb_minuta_recomendacion!$D$2:$D$2000,A83))</f>
        <v/>
      </c>
      <c r="N83" s="12">
        <f>IF(A83="","",SUMPRODUCT((kb_minuta_recomendacion!$D$2:$D$2000=A83)/COUNTIFS(kb_minuta_recomendacion!$D$2:$D$2000,kb_minuta_recomendacion!$D$2:$D$2000&amp;"",kb_minuta_recomendacion!$A$2:$A$2000,kb_minuta_recomendacion!$A$2:$A$2000&amp;"")))</f>
        <v/>
      </c>
      <c r="O83" s="12">
        <f>IF(A83="","",COUNTIF(kb_minuta_hallazgo!$F$2:$F$2000,A83))</f>
        <v/>
      </c>
    </row>
    <row r="84">
      <c r="A84" s="13" t="n"/>
      <c r="B84" s="13" t="n"/>
      <c r="C84" s="13" t="n"/>
      <c r="D84" s="13" t="n"/>
      <c r="E84" s="13" t="n"/>
      <c r="F84" s="13" t="n"/>
      <c r="G84" s="13" t="n"/>
      <c r="H84" s="13" t="n"/>
      <c r="I84" s="13" t="n"/>
      <c r="J84" s="13" t="n"/>
      <c r="K84" s="13" t="n"/>
      <c r="L84" s="13" t="n"/>
      <c r="M84" s="12">
        <f>IF(A84="","",COUNTIF(kb_minuta_recomendacion!$D$2:$D$2000,A84))</f>
        <v/>
      </c>
      <c r="N84" s="12">
        <f>IF(A84="","",SUMPRODUCT((kb_minuta_recomendacion!$D$2:$D$2000=A84)/COUNTIFS(kb_minuta_recomendacion!$D$2:$D$2000,kb_minuta_recomendacion!$D$2:$D$2000&amp;"",kb_minuta_recomendacion!$A$2:$A$2000,kb_minuta_recomendacion!$A$2:$A$2000&amp;"")))</f>
        <v/>
      </c>
      <c r="O84" s="12">
        <f>IF(A84="","",COUNTIF(kb_minuta_hallazgo!$F$2:$F$2000,A84))</f>
        <v/>
      </c>
    </row>
    <row r="85">
      <c r="A85" s="13" t="n"/>
      <c r="B85" s="13" t="n"/>
      <c r="C85" s="13" t="n"/>
      <c r="D85" s="13" t="n"/>
      <c r="E85" s="13" t="n"/>
      <c r="F85" s="13" t="n"/>
      <c r="G85" s="13" t="n"/>
      <c r="H85" s="13" t="n"/>
      <c r="I85" s="13" t="n"/>
      <c r="J85" s="13" t="n"/>
      <c r="K85" s="13" t="n"/>
      <c r="L85" s="13" t="n"/>
      <c r="M85" s="12">
        <f>IF(A85="","",COUNTIF(kb_minuta_recomendacion!$D$2:$D$2000,A85))</f>
        <v/>
      </c>
      <c r="N85" s="12">
        <f>IF(A85="","",SUMPRODUCT((kb_minuta_recomendacion!$D$2:$D$2000=A85)/COUNTIFS(kb_minuta_recomendacion!$D$2:$D$2000,kb_minuta_recomendacion!$D$2:$D$2000&amp;"",kb_minuta_recomendacion!$A$2:$A$2000,kb_minuta_recomendacion!$A$2:$A$2000&amp;"")))</f>
        <v/>
      </c>
      <c r="O85" s="12">
        <f>IF(A85="","",COUNTIF(kb_minuta_hallazgo!$F$2:$F$2000,A85))</f>
        <v/>
      </c>
    </row>
    <row r="86">
      <c r="A86" s="13" t="n"/>
      <c r="B86" s="13" t="n"/>
      <c r="C86" s="13" t="n"/>
      <c r="D86" s="13" t="n"/>
      <c r="E86" s="13" t="n"/>
      <c r="F86" s="13" t="n"/>
      <c r="G86" s="13" t="n"/>
      <c r="H86" s="13" t="n"/>
      <c r="I86" s="13" t="n"/>
      <c r="J86" s="13" t="n"/>
      <c r="K86" s="13" t="n"/>
      <c r="L86" s="13" t="n"/>
      <c r="M86" s="12">
        <f>IF(A86="","",COUNTIF(kb_minuta_recomendacion!$D$2:$D$2000,A86))</f>
        <v/>
      </c>
      <c r="N86" s="12">
        <f>IF(A86="","",SUMPRODUCT((kb_minuta_recomendacion!$D$2:$D$2000=A86)/COUNTIFS(kb_minuta_recomendacion!$D$2:$D$2000,kb_minuta_recomendacion!$D$2:$D$2000&amp;"",kb_minuta_recomendacion!$A$2:$A$2000,kb_minuta_recomendacion!$A$2:$A$2000&amp;"")))</f>
        <v/>
      </c>
      <c r="O86" s="12">
        <f>IF(A86="","",COUNTIF(kb_minuta_hallazgo!$F$2:$F$2000,A86))</f>
        <v/>
      </c>
    </row>
    <row r="87">
      <c r="A87" s="13" t="n"/>
      <c r="B87" s="13" t="n"/>
      <c r="C87" s="13" t="n"/>
      <c r="D87" s="13" t="n"/>
      <c r="E87" s="13" t="n"/>
      <c r="F87" s="13" t="n"/>
      <c r="G87" s="13" t="n"/>
      <c r="H87" s="13" t="n"/>
      <c r="I87" s="13" t="n"/>
      <c r="J87" s="13" t="n"/>
      <c r="K87" s="13" t="n"/>
      <c r="L87" s="13" t="n"/>
      <c r="M87" s="12">
        <f>IF(A87="","",COUNTIF(kb_minuta_recomendacion!$D$2:$D$2000,A87))</f>
        <v/>
      </c>
      <c r="N87" s="12">
        <f>IF(A87="","",SUMPRODUCT((kb_minuta_recomendacion!$D$2:$D$2000=A87)/COUNTIFS(kb_minuta_recomendacion!$D$2:$D$2000,kb_minuta_recomendacion!$D$2:$D$2000&amp;"",kb_minuta_recomendacion!$A$2:$A$2000,kb_minuta_recomendacion!$A$2:$A$2000&amp;"")))</f>
        <v/>
      </c>
      <c r="O87" s="12">
        <f>IF(A87="","",COUNTIF(kb_minuta_hallazgo!$F$2:$F$2000,A87))</f>
        <v/>
      </c>
    </row>
    <row r="88">
      <c r="A88" s="13" t="n"/>
      <c r="B88" s="13" t="n"/>
      <c r="C88" s="13" t="n"/>
      <c r="D88" s="13" t="n"/>
      <c r="E88" s="13" t="n"/>
      <c r="F88" s="13" t="n"/>
      <c r="G88" s="13" t="n"/>
      <c r="H88" s="13" t="n"/>
      <c r="I88" s="13" t="n"/>
      <c r="J88" s="13" t="n"/>
      <c r="K88" s="13" t="n"/>
      <c r="L88" s="13" t="n"/>
      <c r="M88" s="12">
        <f>IF(A88="","",COUNTIF(kb_minuta_recomendacion!$D$2:$D$2000,A88))</f>
        <v/>
      </c>
      <c r="N88" s="12">
        <f>IF(A88="","",SUMPRODUCT((kb_minuta_recomendacion!$D$2:$D$2000=A88)/COUNTIFS(kb_minuta_recomendacion!$D$2:$D$2000,kb_minuta_recomendacion!$D$2:$D$2000&amp;"",kb_minuta_recomendacion!$A$2:$A$2000,kb_minuta_recomendacion!$A$2:$A$2000&amp;"")))</f>
        <v/>
      </c>
      <c r="O88" s="12">
        <f>IF(A88="","",COUNTIF(kb_minuta_hallazgo!$F$2:$F$2000,A88))</f>
        <v/>
      </c>
    </row>
    <row r="89">
      <c r="A89" s="13" t="n"/>
      <c r="B89" s="13" t="n"/>
      <c r="C89" s="13" t="n"/>
      <c r="D89" s="13" t="n"/>
      <c r="E89" s="13" t="n"/>
      <c r="F89" s="13" t="n"/>
      <c r="G89" s="13" t="n"/>
      <c r="H89" s="13" t="n"/>
      <c r="I89" s="13" t="n"/>
      <c r="J89" s="13" t="n"/>
      <c r="K89" s="13" t="n"/>
      <c r="L89" s="13" t="n"/>
      <c r="M89" s="12">
        <f>IF(A89="","",COUNTIF(kb_minuta_recomendacion!$D$2:$D$2000,A89))</f>
        <v/>
      </c>
      <c r="N89" s="12">
        <f>IF(A89="","",SUMPRODUCT((kb_minuta_recomendacion!$D$2:$D$2000=A89)/COUNTIFS(kb_minuta_recomendacion!$D$2:$D$2000,kb_minuta_recomendacion!$D$2:$D$2000&amp;"",kb_minuta_recomendacion!$A$2:$A$2000,kb_minuta_recomendacion!$A$2:$A$2000&amp;"")))</f>
        <v/>
      </c>
      <c r="O89" s="12">
        <f>IF(A89="","",COUNTIF(kb_minuta_hallazgo!$F$2:$F$2000,A89))</f>
        <v/>
      </c>
    </row>
    <row r="90">
      <c r="A90" s="13" t="n"/>
      <c r="B90" s="13" t="n"/>
      <c r="C90" s="13" t="n"/>
      <c r="D90" s="13" t="n"/>
      <c r="E90" s="13" t="n"/>
      <c r="F90" s="13" t="n"/>
      <c r="G90" s="13" t="n"/>
      <c r="H90" s="13" t="n"/>
      <c r="I90" s="13" t="n"/>
      <c r="J90" s="13" t="n"/>
      <c r="K90" s="13" t="n"/>
      <c r="L90" s="13" t="n"/>
      <c r="M90" s="12">
        <f>IF(A90="","",COUNTIF(kb_minuta_recomendacion!$D$2:$D$2000,A90))</f>
        <v/>
      </c>
      <c r="N90" s="12">
        <f>IF(A90="","",SUMPRODUCT((kb_minuta_recomendacion!$D$2:$D$2000=A90)/COUNTIFS(kb_minuta_recomendacion!$D$2:$D$2000,kb_minuta_recomendacion!$D$2:$D$2000&amp;"",kb_minuta_recomendacion!$A$2:$A$2000,kb_minuta_recomendacion!$A$2:$A$2000&amp;"")))</f>
        <v/>
      </c>
      <c r="O90" s="12">
        <f>IF(A90="","",COUNTIF(kb_minuta_hallazgo!$F$2:$F$2000,A90))</f>
        <v/>
      </c>
    </row>
    <row r="91">
      <c r="A91" s="13" t="n"/>
      <c r="B91" s="13" t="n"/>
      <c r="C91" s="13" t="n"/>
      <c r="D91" s="13" t="n"/>
      <c r="E91" s="13" t="n"/>
      <c r="F91" s="13" t="n"/>
      <c r="G91" s="13" t="n"/>
      <c r="H91" s="13" t="n"/>
      <c r="I91" s="13" t="n"/>
      <c r="J91" s="13" t="n"/>
      <c r="K91" s="13" t="n"/>
      <c r="L91" s="13" t="n"/>
      <c r="M91" s="12">
        <f>IF(A91="","",COUNTIF(kb_minuta_recomendacion!$D$2:$D$2000,A91))</f>
        <v/>
      </c>
      <c r="N91" s="12">
        <f>IF(A91="","",SUMPRODUCT((kb_minuta_recomendacion!$D$2:$D$2000=A91)/COUNTIFS(kb_minuta_recomendacion!$D$2:$D$2000,kb_minuta_recomendacion!$D$2:$D$2000&amp;"",kb_minuta_recomendacion!$A$2:$A$2000,kb_minuta_recomendacion!$A$2:$A$2000&amp;"")))</f>
        <v/>
      </c>
      <c r="O91" s="12">
        <f>IF(A91="","",COUNTIF(kb_minuta_hallazgo!$F$2:$F$2000,A91))</f>
        <v/>
      </c>
    </row>
    <row r="92">
      <c r="A92" s="13" t="n"/>
      <c r="B92" s="13" t="n"/>
      <c r="C92" s="13" t="n"/>
      <c r="D92" s="13" t="n"/>
      <c r="E92" s="13" t="n"/>
      <c r="F92" s="13" t="n"/>
      <c r="G92" s="13" t="n"/>
      <c r="H92" s="13" t="n"/>
      <c r="I92" s="13" t="n"/>
      <c r="J92" s="13" t="n"/>
      <c r="K92" s="13" t="n"/>
      <c r="L92" s="13" t="n"/>
      <c r="M92" s="12">
        <f>IF(A92="","",COUNTIF(kb_minuta_recomendacion!$D$2:$D$2000,A92))</f>
        <v/>
      </c>
      <c r="N92" s="12">
        <f>IF(A92="","",SUMPRODUCT((kb_minuta_recomendacion!$D$2:$D$2000=A92)/COUNTIFS(kb_minuta_recomendacion!$D$2:$D$2000,kb_minuta_recomendacion!$D$2:$D$2000&amp;"",kb_minuta_recomendacion!$A$2:$A$2000,kb_minuta_recomendacion!$A$2:$A$2000&amp;"")))</f>
        <v/>
      </c>
      <c r="O92" s="12">
        <f>IF(A92="","",COUNTIF(kb_minuta_hallazgo!$F$2:$F$2000,A92))</f>
        <v/>
      </c>
    </row>
    <row r="93">
      <c r="A93" s="13" t="n"/>
      <c r="B93" s="13" t="n"/>
      <c r="C93" s="13" t="n"/>
      <c r="D93" s="13" t="n"/>
      <c r="E93" s="13" t="n"/>
      <c r="F93" s="13" t="n"/>
      <c r="G93" s="13" t="n"/>
      <c r="H93" s="13" t="n"/>
      <c r="I93" s="13" t="n"/>
      <c r="J93" s="13" t="n"/>
      <c r="K93" s="13" t="n"/>
      <c r="L93" s="13" t="n"/>
      <c r="M93" s="12">
        <f>IF(A93="","",COUNTIF(kb_minuta_recomendacion!$D$2:$D$2000,A93))</f>
        <v/>
      </c>
      <c r="N93" s="12">
        <f>IF(A93="","",SUMPRODUCT((kb_minuta_recomendacion!$D$2:$D$2000=A93)/COUNTIFS(kb_minuta_recomendacion!$D$2:$D$2000,kb_minuta_recomendacion!$D$2:$D$2000&amp;"",kb_minuta_recomendacion!$A$2:$A$2000,kb_minuta_recomendacion!$A$2:$A$2000&amp;"")))</f>
        <v/>
      </c>
      <c r="O93" s="12">
        <f>IF(A93="","",COUNTIF(kb_minuta_hallazgo!$F$2:$F$2000,A93))</f>
        <v/>
      </c>
    </row>
    <row r="94">
      <c r="A94" s="13" t="n"/>
      <c r="B94" s="13" t="n"/>
      <c r="C94" s="13" t="n"/>
      <c r="D94" s="13" t="n"/>
      <c r="E94" s="13" t="n"/>
      <c r="F94" s="13" t="n"/>
      <c r="G94" s="13" t="n"/>
      <c r="H94" s="13" t="n"/>
      <c r="I94" s="13" t="n"/>
      <c r="J94" s="13" t="n"/>
      <c r="K94" s="13" t="n"/>
      <c r="L94" s="13" t="n"/>
      <c r="M94" s="12">
        <f>IF(A94="","",COUNTIF(kb_minuta_recomendacion!$D$2:$D$2000,A94))</f>
        <v/>
      </c>
      <c r="N94" s="12">
        <f>IF(A94="","",SUMPRODUCT((kb_minuta_recomendacion!$D$2:$D$2000=A94)/COUNTIFS(kb_minuta_recomendacion!$D$2:$D$2000,kb_minuta_recomendacion!$D$2:$D$2000&amp;"",kb_minuta_recomendacion!$A$2:$A$2000,kb_minuta_recomendacion!$A$2:$A$2000&amp;"")))</f>
        <v/>
      </c>
      <c r="O94" s="12">
        <f>IF(A94="","",COUNTIF(kb_minuta_hallazgo!$F$2:$F$2000,A94))</f>
        <v/>
      </c>
    </row>
    <row r="95">
      <c r="A95" s="13" t="n"/>
      <c r="B95" s="13" t="n"/>
      <c r="C95" s="13" t="n"/>
      <c r="D95" s="13" t="n"/>
      <c r="E95" s="13" t="n"/>
      <c r="F95" s="13" t="n"/>
      <c r="G95" s="13" t="n"/>
      <c r="H95" s="13" t="n"/>
      <c r="I95" s="13" t="n"/>
      <c r="J95" s="13" t="n"/>
      <c r="K95" s="13" t="n"/>
      <c r="L95" s="13" t="n"/>
      <c r="M95" s="12">
        <f>IF(A95="","",COUNTIF(kb_minuta_recomendacion!$D$2:$D$2000,A95))</f>
        <v/>
      </c>
      <c r="N95" s="12">
        <f>IF(A95="","",SUMPRODUCT((kb_minuta_recomendacion!$D$2:$D$2000=A95)/COUNTIFS(kb_minuta_recomendacion!$D$2:$D$2000,kb_minuta_recomendacion!$D$2:$D$2000&amp;"",kb_minuta_recomendacion!$A$2:$A$2000,kb_minuta_recomendacion!$A$2:$A$2000&amp;"")))</f>
        <v/>
      </c>
      <c r="O95" s="12">
        <f>IF(A95="","",COUNTIF(kb_minuta_hallazgo!$F$2:$F$2000,A95))</f>
        <v/>
      </c>
    </row>
    <row r="96">
      <c r="A96" s="13" t="n"/>
      <c r="B96" s="13" t="n"/>
      <c r="C96" s="13" t="n"/>
      <c r="D96" s="13" t="n"/>
      <c r="E96" s="13" t="n"/>
      <c r="F96" s="13" t="n"/>
      <c r="G96" s="13" t="n"/>
      <c r="H96" s="13" t="n"/>
      <c r="I96" s="13" t="n"/>
      <c r="J96" s="13" t="n"/>
      <c r="K96" s="13" t="n"/>
      <c r="L96" s="13" t="n"/>
      <c r="M96" s="12">
        <f>IF(A96="","",COUNTIF(kb_minuta_recomendacion!$D$2:$D$2000,A96))</f>
        <v/>
      </c>
      <c r="N96" s="12">
        <f>IF(A96="","",SUMPRODUCT((kb_minuta_recomendacion!$D$2:$D$2000=A96)/COUNTIFS(kb_minuta_recomendacion!$D$2:$D$2000,kb_minuta_recomendacion!$D$2:$D$2000&amp;"",kb_minuta_recomendacion!$A$2:$A$2000,kb_minuta_recomendacion!$A$2:$A$2000&amp;"")))</f>
        <v/>
      </c>
      <c r="O96" s="12">
        <f>IF(A96="","",COUNTIF(kb_minuta_hallazgo!$F$2:$F$2000,A96))</f>
        <v/>
      </c>
    </row>
    <row r="97">
      <c r="A97" s="13" t="n"/>
      <c r="B97" s="13" t="n"/>
      <c r="C97" s="13" t="n"/>
      <c r="D97" s="13" t="n"/>
      <c r="E97" s="13" t="n"/>
      <c r="F97" s="13" t="n"/>
      <c r="G97" s="13" t="n"/>
      <c r="H97" s="13" t="n"/>
      <c r="I97" s="13" t="n"/>
      <c r="J97" s="13" t="n"/>
      <c r="K97" s="13" t="n"/>
      <c r="L97" s="13" t="n"/>
      <c r="M97" s="12">
        <f>IF(A97="","",COUNTIF(kb_minuta_recomendacion!$D$2:$D$2000,A97))</f>
        <v/>
      </c>
      <c r="N97" s="12">
        <f>IF(A97="","",SUMPRODUCT((kb_minuta_recomendacion!$D$2:$D$2000=A97)/COUNTIFS(kb_minuta_recomendacion!$D$2:$D$2000,kb_minuta_recomendacion!$D$2:$D$2000&amp;"",kb_minuta_recomendacion!$A$2:$A$2000,kb_minuta_recomendacion!$A$2:$A$2000&amp;"")))</f>
        <v/>
      </c>
      <c r="O97" s="12">
        <f>IF(A97="","",COUNTIF(kb_minuta_hallazgo!$F$2:$F$2000,A97))</f>
        <v/>
      </c>
    </row>
    <row r="98">
      <c r="A98" s="13" t="n"/>
      <c r="B98" s="13" t="n"/>
      <c r="C98" s="13" t="n"/>
      <c r="D98" s="13" t="n"/>
      <c r="E98" s="13" t="n"/>
      <c r="F98" s="13" t="n"/>
      <c r="G98" s="13" t="n"/>
      <c r="H98" s="13" t="n"/>
      <c r="I98" s="13" t="n"/>
      <c r="J98" s="13" t="n"/>
      <c r="K98" s="13" t="n"/>
      <c r="L98" s="13" t="n"/>
      <c r="M98" s="12">
        <f>IF(A98="","",COUNTIF(kb_minuta_recomendacion!$D$2:$D$2000,A98))</f>
        <v/>
      </c>
      <c r="N98" s="12">
        <f>IF(A98="","",SUMPRODUCT((kb_minuta_recomendacion!$D$2:$D$2000=A98)/COUNTIFS(kb_minuta_recomendacion!$D$2:$D$2000,kb_minuta_recomendacion!$D$2:$D$2000&amp;"",kb_minuta_recomendacion!$A$2:$A$2000,kb_minuta_recomendacion!$A$2:$A$2000&amp;"")))</f>
        <v/>
      </c>
      <c r="O98" s="12">
        <f>IF(A98="","",COUNTIF(kb_minuta_hallazgo!$F$2:$F$2000,A98))</f>
        <v/>
      </c>
    </row>
    <row r="99">
      <c r="A99" s="13" t="n"/>
      <c r="B99" s="13" t="n"/>
      <c r="C99" s="13" t="n"/>
      <c r="D99" s="13" t="n"/>
      <c r="E99" s="13" t="n"/>
      <c r="F99" s="13" t="n"/>
      <c r="G99" s="13" t="n"/>
      <c r="H99" s="13" t="n"/>
      <c r="I99" s="13" t="n"/>
      <c r="J99" s="13" t="n"/>
      <c r="K99" s="13" t="n"/>
      <c r="L99" s="13" t="n"/>
      <c r="M99" s="12">
        <f>IF(A99="","",COUNTIF(kb_minuta_recomendacion!$D$2:$D$2000,A99))</f>
        <v/>
      </c>
      <c r="N99" s="12">
        <f>IF(A99="","",SUMPRODUCT((kb_minuta_recomendacion!$D$2:$D$2000=A99)/COUNTIFS(kb_minuta_recomendacion!$D$2:$D$2000,kb_minuta_recomendacion!$D$2:$D$2000&amp;"",kb_minuta_recomendacion!$A$2:$A$2000,kb_minuta_recomendacion!$A$2:$A$2000&amp;"")))</f>
        <v/>
      </c>
      <c r="O99" s="12">
        <f>IF(A99="","",COUNTIF(kb_minuta_hallazgo!$F$2:$F$2000,A99))</f>
        <v/>
      </c>
    </row>
    <row r="100">
      <c r="A100" s="13" t="n"/>
      <c r="B100" s="13" t="n"/>
      <c r="C100" s="13" t="n"/>
      <c r="D100" s="13" t="n"/>
      <c r="E100" s="13" t="n"/>
      <c r="F100" s="13" t="n"/>
      <c r="G100" s="13" t="n"/>
      <c r="H100" s="13" t="n"/>
      <c r="I100" s="13" t="n"/>
      <c r="J100" s="13" t="n"/>
      <c r="K100" s="13" t="n"/>
      <c r="L100" s="13" t="n"/>
      <c r="M100" s="12">
        <f>IF(A100="","",COUNTIF(kb_minuta_recomendacion!$D$2:$D$2000,A100))</f>
        <v/>
      </c>
      <c r="N100" s="12">
        <f>IF(A100="","",SUMPRODUCT((kb_minuta_recomendacion!$D$2:$D$2000=A100)/COUNTIFS(kb_minuta_recomendacion!$D$2:$D$2000,kb_minuta_recomendacion!$D$2:$D$2000&amp;"",kb_minuta_recomendacion!$A$2:$A$2000,kb_minuta_recomendacion!$A$2:$A$2000&amp;"")))</f>
        <v/>
      </c>
      <c r="O100" s="12">
        <f>IF(A100="","",COUNTIF(kb_minuta_hallazgo!$F$2:$F$2000,A100))</f>
        <v/>
      </c>
    </row>
    <row r="101">
      <c r="A101" s="13" t="n"/>
      <c r="B101" s="13" t="n"/>
      <c r="C101" s="13" t="n"/>
      <c r="D101" s="13" t="n"/>
      <c r="E101" s="13" t="n"/>
      <c r="F101" s="13" t="n"/>
      <c r="G101" s="13" t="n"/>
      <c r="H101" s="13" t="n"/>
      <c r="I101" s="13" t="n"/>
      <c r="J101" s="13" t="n"/>
      <c r="K101" s="13" t="n"/>
      <c r="L101" s="13" t="n"/>
      <c r="M101" s="12">
        <f>IF(A101="","",COUNTIF(kb_minuta_recomendacion!$D$2:$D$2000,A101))</f>
        <v/>
      </c>
      <c r="N101" s="12">
        <f>IF(A101="","",SUMPRODUCT((kb_minuta_recomendacion!$D$2:$D$2000=A101)/COUNTIFS(kb_minuta_recomendacion!$D$2:$D$2000,kb_minuta_recomendacion!$D$2:$D$2000&amp;"",kb_minuta_recomendacion!$A$2:$A$2000,kb_minuta_recomendacion!$A$2:$A$2000&amp;"")))</f>
        <v/>
      </c>
      <c r="O101" s="12">
        <f>IF(A101="","",COUNTIF(kb_minuta_hallazgo!$F$2:$F$2000,A101))</f>
        <v/>
      </c>
    </row>
    <row r="102">
      <c r="A102" s="13" t="n"/>
      <c r="B102" s="13" t="n"/>
      <c r="C102" s="13" t="n"/>
      <c r="D102" s="13" t="n"/>
      <c r="E102" s="13" t="n"/>
      <c r="F102" s="13" t="n"/>
      <c r="G102" s="13" t="n"/>
      <c r="H102" s="13" t="n"/>
      <c r="I102" s="13" t="n"/>
      <c r="J102" s="13" t="n"/>
      <c r="K102" s="13" t="n"/>
      <c r="L102" s="13" t="n"/>
      <c r="M102" s="12">
        <f>IF(A102="","",COUNTIF(kb_minuta_recomendacion!$D$2:$D$2000,A102))</f>
        <v/>
      </c>
      <c r="N102" s="12">
        <f>IF(A102="","",SUMPRODUCT((kb_minuta_recomendacion!$D$2:$D$2000=A102)/COUNTIFS(kb_minuta_recomendacion!$D$2:$D$2000,kb_minuta_recomendacion!$D$2:$D$2000&amp;"",kb_minuta_recomendacion!$A$2:$A$2000,kb_minuta_recomendacion!$A$2:$A$2000&amp;"")))</f>
        <v/>
      </c>
      <c r="O102" s="12">
        <f>IF(A102="","",COUNTIF(kb_minuta_hallazgo!$F$2:$F$2000,A102))</f>
        <v/>
      </c>
    </row>
    <row r="103">
      <c r="A103" s="13" t="n"/>
      <c r="B103" s="13" t="n"/>
      <c r="C103" s="13" t="n"/>
      <c r="D103" s="13" t="n"/>
      <c r="E103" s="13" t="n"/>
      <c r="F103" s="13" t="n"/>
      <c r="G103" s="13" t="n"/>
      <c r="H103" s="13" t="n"/>
      <c r="I103" s="13" t="n"/>
      <c r="J103" s="13" t="n"/>
      <c r="K103" s="13" t="n"/>
      <c r="L103" s="13" t="n"/>
      <c r="M103" s="12">
        <f>IF(A103="","",COUNTIF(kb_minuta_recomendacion!$D$2:$D$2000,A103))</f>
        <v/>
      </c>
      <c r="N103" s="12">
        <f>IF(A103="","",SUMPRODUCT((kb_minuta_recomendacion!$D$2:$D$2000=A103)/COUNTIFS(kb_minuta_recomendacion!$D$2:$D$2000,kb_minuta_recomendacion!$D$2:$D$2000&amp;"",kb_minuta_recomendacion!$A$2:$A$2000,kb_minuta_recomendacion!$A$2:$A$2000&amp;"")))</f>
        <v/>
      </c>
      <c r="O103" s="12">
        <f>IF(A103="","",COUNTIF(kb_minuta_hallazgo!$F$2:$F$2000,A103))</f>
        <v/>
      </c>
    </row>
    <row r="104">
      <c r="A104" s="13" t="n"/>
      <c r="B104" s="13" t="n"/>
      <c r="C104" s="13" t="n"/>
      <c r="D104" s="13" t="n"/>
      <c r="E104" s="13" t="n"/>
      <c r="F104" s="13" t="n"/>
      <c r="G104" s="13" t="n"/>
      <c r="H104" s="13" t="n"/>
      <c r="I104" s="13" t="n"/>
      <c r="J104" s="13" t="n"/>
      <c r="K104" s="13" t="n"/>
      <c r="L104" s="13" t="n"/>
      <c r="M104" s="12">
        <f>IF(A104="","",COUNTIF(kb_minuta_recomendacion!$D$2:$D$2000,A104))</f>
        <v/>
      </c>
      <c r="N104" s="12">
        <f>IF(A104="","",SUMPRODUCT((kb_minuta_recomendacion!$D$2:$D$2000=A104)/COUNTIFS(kb_minuta_recomendacion!$D$2:$D$2000,kb_minuta_recomendacion!$D$2:$D$2000&amp;"",kb_minuta_recomendacion!$A$2:$A$2000,kb_minuta_recomendacion!$A$2:$A$2000&amp;"")))</f>
        <v/>
      </c>
      <c r="O104" s="12">
        <f>IF(A104="","",COUNTIF(kb_minuta_hallazgo!$F$2:$F$2000,A104))</f>
        <v/>
      </c>
    </row>
    <row r="105">
      <c r="A105" s="13" t="n"/>
      <c r="B105" s="13" t="n"/>
      <c r="C105" s="13" t="n"/>
      <c r="D105" s="13" t="n"/>
      <c r="E105" s="13" t="n"/>
      <c r="F105" s="13" t="n"/>
      <c r="G105" s="13" t="n"/>
      <c r="H105" s="13" t="n"/>
      <c r="I105" s="13" t="n"/>
      <c r="J105" s="13" t="n"/>
      <c r="K105" s="13" t="n"/>
      <c r="L105" s="13" t="n"/>
      <c r="M105" s="12">
        <f>IF(A105="","",COUNTIF(kb_minuta_recomendacion!$D$2:$D$2000,A105))</f>
        <v/>
      </c>
      <c r="N105" s="12">
        <f>IF(A105="","",SUMPRODUCT((kb_minuta_recomendacion!$D$2:$D$2000=A105)/COUNTIFS(kb_minuta_recomendacion!$D$2:$D$2000,kb_minuta_recomendacion!$D$2:$D$2000&amp;"",kb_minuta_recomendacion!$A$2:$A$2000,kb_minuta_recomendacion!$A$2:$A$2000&amp;"")))</f>
        <v/>
      </c>
      <c r="O105" s="12">
        <f>IF(A105="","",COUNTIF(kb_minuta_hallazgo!$F$2:$F$2000,A105))</f>
        <v/>
      </c>
    </row>
    <row r="106">
      <c r="A106" s="13" t="n"/>
      <c r="B106" s="13" t="n"/>
      <c r="C106" s="13" t="n"/>
      <c r="D106" s="13" t="n"/>
      <c r="E106" s="13" t="n"/>
      <c r="F106" s="13" t="n"/>
      <c r="G106" s="13" t="n"/>
      <c r="H106" s="13" t="n"/>
      <c r="I106" s="13" t="n"/>
      <c r="J106" s="13" t="n"/>
      <c r="K106" s="13" t="n"/>
      <c r="L106" s="13" t="n"/>
      <c r="M106" s="12">
        <f>IF(A106="","",COUNTIF(kb_minuta_recomendacion!$D$2:$D$2000,A106))</f>
        <v/>
      </c>
      <c r="N106" s="12">
        <f>IF(A106="","",SUMPRODUCT((kb_minuta_recomendacion!$D$2:$D$2000=A106)/COUNTIFS(kb_minuta_recomendacion!$D$2:$D$2000,kb_minuta_recomendacion!$D$2:$D$2000&amp;"",kb_minuta_recomendacion!$A$2:$A$2000,kb_minuta_recomendacion!$A$2:$A$2000&amp;"")))</f>
        <v/>
      </c>
      <c r="O106" s="12">
        <f>IF(A106="","",COUNTIF(kb_minuta_hallazgo!$F$2:$F$2000,A106))</f>
        <v/>
      </c>
    </row>
    <row r="107">
      <c r="A107" s="13" t="n"/>
      <c r="B107" s="13" t="n"/>
      <c r="C107" s="13" t="n"/>
      <c r="D107" s="13" t="n"/>
      <c r="E107" s="13" t="n"/>
      <c r="F107" s="13" t="n"/>
      <c r="G107" s="13" t="n"/>
      <c r="H107" s="13" t="n"/>
      <c r="I107" s="13" t="n"/>
      <c r="J107" s="13" t="n"/>
      <c r="K107" s="13" t="n"/>
      <c r="L107" s="13" t="n"/>
      <c r="M107" s="12">
        <f>IF(A107="","",COUNTIF(kb_minuta_recomendacion!$D$2:$D$2000,A107))</f>
        <v/>
      </c>
      <c r="N107" s="12">
        <f>IF(A107="","",SUMPRODUCT((kb_minuta_recomendacion!$D$2:$D$2000=A107)/COUNTIFS(kb_minuta_recomendacion!$D$2:$D$2000,kb_minuta_recomendacion!$D$2:$D$2000&amp;"",kb_minuta_recomendacion!$A$2:$A$2000,kb_minuta_recomendacion!$A$2:$A$2000&amp;"")))</f>
        <v/>
      </c>
      <c r="O107" s="12">
        <f>IF(A107="","",COUNTIF(kb_minuta_hallazgo!$F$2:$F$2000,A107))</f>
        <v/>
      </c>
    </row>
    <row r="108">
      <c r="A108" s="13" t="n"/>
      <c r="B108" s="13" t="n"/>
      <c r="C108" s="13" t="n"/>
      <c r="D108" s="13" t="n"/>
      <c r="E108" s="13" t="n"/>
      <c r="F108" s="13" t="n"/>
      <c r="G108" s="13" t="n"/>
      <c r="H108" s="13" t="n"/>
      <c r="I108" s="13" t="n"/>
      <c r="J108" s="13" t="n"/>
      <c r="K108" s="13" t="n"/>
      <c r="L108" s="13" t="n"/>
      <c r="M108" s="12">
        <f>IF(A108="","",COUNTIF(kb_minuta_recomendacion!$D$2:$D$2000,A108))</f>
        <v/>
      </c>
      <c r="N108" s="12">
        <f>IF(A108="","",SUMPRODUCT((kb_minuta_recomendacion!$D$2:$D$2000=A108)/COUNTIFS(kb_minuta_recomendacion!$D$2:$D$2000,kb_minuta_recomendacion!$D$2:$D$2000&amp;"",kb_minuta_recomendacion!$A$2:$A$2000,kb_minuta_recomendacion!$A$2:$A$2000&amp;"")))</f>
        <v/>
      </c>
      <c r="O108" s="12">
        <f>IF(A108="","",COUNTIF(kb_minuta_hallazgo!$F$2:$F$2000,A108))</f>
        <v/>
      </c>
    </row>
    <row r="109">
      <c r="A109" s="13" t="n"/>
      <c r="B109" s="13" t="n"/>
      <c r="C109" s="13" t="n"/>
      <c r="D109" s="13" t="n"/>
      <c r="E109" s="13" t="n"/>
      <c r="F109" s="13" t="n"/>
      <c r="G109" s="13" t="n"/>
      <c r="H109" s="13" t="n"/>
      <c r="I109" s="13" t="n"/>
      <c r="J109" s="13" t="n"/>
      <c r="K109" s="13" t="n"/>
      <c r="L109" s="13" t="n"/>
      <c r="M109" s="12">
        <f>IF(A109="","",COUNTIF(kb_minuta_recomendacion!$D$2:$D$2000,A109))</f>
        <v/>
      </c>
      <c r="N109" s="12">
        <f>IF(A109="","",SUMPRODUCT((kb_minuta_recomendacion!$D$2:$D$2000=A109)/COUNTIFS(kb_minuta_recomendacion!$D$2:$D$2000,kb_minuta_recomendacion!$D$2:$D$2000&amp;"",kb_minuta_recomendacion!$A$2:$A$2000,kb_minuta_recomendacion!$A$2:$A$2000&amp;"")))</f>
        <v/>
      </c>
      <c r="O109" s="12">
        <f>IF(A109="","",COUNTIF(kb_minuta_hallazgo!$F$2:$F$2000,A109))</f>
        <v/>
      </c>
    </row>
    <row r="110">
      <c r="A110" s="13" t="n"/>
      <c r="B110" s="13" t="n"/>
      <c r="C110" s="13" t="n"/>
      <c r="D110" s="13" t="n"/>
      <c r="E110" s="13" t="n"/>
      <c r="F110" s="13" t="n"/>
      <c r="G110" s="13" t="n"/>
      <c r="H110" s="13" t="n"/>
      <c r="I110" s="13" t="n"/>
      <c r="J110" s="13" t="n"/>
      <c r="K110" s="13" t="n"/>
      <c r="L110" s="13" t="n"/>
      <c r="M110" s="12">
        <f>IF(A110="","",COUNTIF(kb_minuta_recomendacion!$D$2:$D$2000,A110))</f>
        <v/>
      </c>
      <c r="N110" s="12">
        <f>IF(A110="","",SUMPRODUCT((kb_minuta_recomendacion!$D$2:$D$2000=A110)/COUNTIFS(kb_minuta_recomendacion!$D$2:$D$2000,kb_minuta_recomendacion!$D$2:$D$2000&amp;"",kb_minuta_recomendacion!$A$2:$A$2000,kb_minuta_recomendacion!$A$2:$A$2000&amp;"")))</f>
        <v/>
      </c>
      <c r="O110" s="12">
        <f>IF(A110="","",COUNTIF(kb_minuta_hallazgo!$F$2:$F$2000,A110))</f>
        <v/>
      </c>
    </row>
    <row r="111">
      <c r="A111" s="13" t="n"/>
      <c r="B111" s="13" t="n"/>
      <c r="C111" s="13" t="n"/>
      <c r="D111" s="13" t="n"/>
      <c r="E111" s="13" t="n"/>
      <c r="F111" s="13" t="n"/>
      <c r="G111" s="13" t="n"/>
      <c r="H111" s="13" t="n"/>
      <c r="I111" s="13" t="n"/>
      <c r="J111" s="13" t="n"/>
      <c r="K111" s="13" t="n"/>
      <c r="L111" s="13" t="n"/>
      <c r="M111" s="12">
        <f>IF(A111="","",COUNTIF(kb_minuta_recomendacion!$D$2:$D$2000,A111))</f>
        <v/>
      </c>
      <c r="N111" s="12">
        <f>IF(A111="","",SUMPRODUCT((kb_minuta_recomendacion!$D$2:$D$2000=A111)/COUNTIFS(kb_minuta_recomendacion!$D$2:$D$2000,kb_minuta_recomendacion!$D$2:$D$2000&amp;"",kb_minuta_recomendacion!$A$2:$A$2000,kb_minuta_recomendacion!$A$2:$A$2000&amp;"")))</f>
        <v/>
      </c>
      <c r="O111" s="12">
        <f>IF(A111="","",COUNTIF(kb_minuta_hallazgo!$F$2:$F$2000,A111))</f>
        <v/>
      </c>
    </row>
    <row r="112">
      <c r="A112" s="13" t="n"/>
      <c r="B112" s="13" t="n"/>
      <c r="C112" s="13" t="n"/>
      <c r="D112" s="13" t="n"/>
      <c r="E112" s="13" t="n"/>
      <c r="F112" s="13" t="n"/>
      <c r="G112" s="13" t="n"/>
      <c r="H112" s="13" t="n"/>
      <c r="I112" s="13" t="n"/>
      <c r="J112" s="13" t="n"/>
      <c r="K112" s="13" t="n"/>
      <c r="L112" s="13" t="n"/>
      <c r="M112" s="12">
        <f>IF(A112="","",COUNTIF(kb_minuta_recomendacion!$D$2:$D$2000,A112))</f>
        <v/>
      </c>
      <c r="N112" s="12">
        <f>IF(A112="","",SUMPRODUCT((kb_minuta_recomendacion!$D$2:$D$2000=A112)/COUNTIFS(kb_minuta_recomendacion!$D$2:$D$2000,kb_minuta_recomendacion!$D$2:$D$2000&amp;"",kb_minuta_recomendacion!$A$2:$A$2000,kb_minuta_recomendacion!$A$2:$A$2000&amp;"")))</f>
        <v/>
      </c>
      <c r="O112" s="12">
        <f>IF(A112="","",COUNTIF(kb_minuta_hallazgo!$F$2:$F$2000,A112))</f>
        <v/>
      </c>
    </row>
    <row r="113">
      <c r="A113" s="13" t="n"/>
      <c r="B113" s="13" t="n"/>
      <c r="C113" s="13" t="n"/>
      <c r="D113" s="13" t="n"/>
      <c r="E113" s="13" t="n"/>
      <c r="F113" s="13" t="n"/>
      <c r="G113" s="13" t="n"/>
      <c r="H113" s="13" t="n"/>
      <c r="I113" s="13" t="n"/>
      <c r="J113" s="13" t="n"/>
      <c r="K113" s="13" t="n"/>
      <c r="L113" s="13" t="n"/>
      <c r="M113" s="12">
        <f>IF(A113="","",COUNTIF(kb_minuta_recomendacion!$D$2:$D$2000,A113))</f>
        <v/>
      </c>
      <c r="N113" s="12">
        <f>IF(A113="","",SUMPRODUCT((kb_minuta_recomendacion!$D$2:$D$2000=A113)/COUNTIFS(kb_minuta_recomendacion!$D$2:$D$2000,kb_minuta_recomendacion!$D$2:$D$2000&amp;"",kb_minuta_recomendacion!$A$2:$A$2000,kb_minuta_recomendacion!$A$2:$A$2000&amp;"")))</f>
        <v/>
      </c>
      <c r="O113" s="12">
        <f>IF(A113="","",COUNTIF(kb_minuta_hallazgo!$F$2:$F$2000,A113))</f>
        <v/>
      </c>
    </row>
    <row r="114">
      <c r="A114" s="13" t="n"/>
      <c r="B114" s="13" t="n"/>
      <c r="C114" s="13" t="n"/>
      <c r="D114" s="13" t="n"/>
      <c r="E114" s="13" t="n"/>
      <c r="F114" s="13" t="n"/>
      <c r="G114" s="13" t="n"/>
      <c r="H114" s="13" t="n"/>
      <c r="I114" s="13" t="n"/>
      <c r="J114" s="13" t="n"/>
      <c r="K114" s="13" t="n"/>
      <c r="L114" s="13" t="n"/>
      <c r="M114" s="12">
        <f>IF(A114="","",COUNTIF(kb_minuta_recomendacion!$D$2:$D$2000,A114))</f>
        <v/>
      </c>
      <c r="N114" s="12">
        <f>IF(A114="","",SUMPRODUCT((kb_minuta_recomendacion!$D$2:$D$2000=A114)/COUNTIFS(kb_minuta_recomendacion!$D$2:$D$2000,kb_minuta_recomendacion!$D$2:$D$2000&amp;"",kb_minuta_recomendacion!$A$2:$A$2000,kb_minuta_recomendacion!$A$2:$A$2000&amp;"")))</f>
        <v/>
      </c>
      <c r="O114" s="12">
        <f>IF(A114="","",COUNTIF(kb_minuta_hallazgo!$F$2:$F$2000,A114))</f>
        <v/>
      </c>
    </row>
    <row r="115">
      <c r="A115" s="13" t="n"/>
      <c r="B115" s="13" t="n"/>
      <c r="C115" s="13" t="n"/>
      <c r="D115" s="13" t="n"/>
      <c r="E115" s="13" t="n"/>
      <c r="F115" s="13" t="n"/>
      <c r="G115" s="13" t="n"/>
      <c r="H115" s="13" t="n"/>
      <c r="I115" s="13" t="n"/>
      <c r="J115" s="13" t="n"/>
      <c r="K115" s="13" t="n"/>
      <c r="L115" s="13" t="n"/>
      <c r="M115" s="12">
        <f>IF(A115="","",COUNTIF(kb_minuta_recomendacion!$D$2:$D$2000,A115))</f>
        <v/>
      </c>
      <c r="N115" s="12">
        <f>IF(A115="","",SUMPRODUCT((kb_minuta_recomendacion!$D$2:$D$2000=A115)/COUNTIFS(kb_minuta_recomendacion!$D$2:$D$2000,kb_minuta_recomendacion!$D$2:$D$2000&amp;"",kb_minuta_recomendacion!$A$2:$A$2000,kb_minuta_recomendacion!$A$2:$A$2000&amp;"")))</f>
        <v/>
      </c>
      <c r="O115" s="12">
        <f>IF(A115="","",COUNTIF(kb_minuta_hallazgo!$F$2:$F$2000,A115))</f>
        <v/>
      </c>
    </row>
    <row r="116">
      <c r="A116" s="13" t="n"/>
      <c r="B116" s="13" t="n"/>
      <c r="C116" s="13" t="n"/>
      <c r="D116" s="13" t="n"/>
      <c r="E116" s="13" t="n"/>
      <c r="F116" s="13" t="n"/>
      <c r="G116" s="13" t="n"/>
      <c r="H116" s="13" t="n"/>
      <c r="I116" s="13" t="n"/>
      <c r="J116" s="13" t="n"/>
      <c r="K116" s="13" t="n"/>
      <c r="L116" s="13" t="n"/>
      <c r="M116" s="12">
        <f>IF(A116="","",COUNTIF(kb_minuta_recomendacion!$D$2:$D$2000,A116))</f>
        <v/>
      </c>
      <c r="N116" s="12">
        <f>IF(A116="","",SUMPRODUCT((kb_minuta_recomendacion!$D$2:$D$2000=A116)/COUNTIFS(kb_minuta_recomendacion!$D$2:$D$2000,kb_minuta_recomendacion!$D$2:$D$2000&amp;"",kb_minuta_recomendacion!$A$2:$A$2000,kb_minuta_recomendacion!$A$2:$A$2000&amp;"")))</f>
        <v/>
      </c>
      <c r="O116" s="12">
        <f>IF(A116="","",COUNTIF(kb_minuta_hallazgo!$F$2:$F$2000,A116))</f>
        <v/>
      </c>
    </row>
    <row r="117">
      <c r="A117" s="13" t="n"/>
      <c r="B117" s="13" t="n"/>
      <c r="C117" s="13" t="n"/>
      <c r="D117" s="13" t="n"/>
      <c r="E117" s="13" t="n"/>
      <c r="F117" s="13" t="n"/>
      <c r="G117" s="13" t="n"/>
      <c r="H117" s="13" t="n"/>
      <c r="I117" s="13" t="n"/>
      <c r="J117" s="13" t="n"/>
      <c r="K117" s="13" t="n"/>
      <c r="L117" s="13" t="n"/>
      <c r="M117" s="12">
        <f>IF(A117="","",COUNTIF(kb_minuta_recomendacion!$D$2:$D$2000,A117))</f>
        <v/>
      </c>
      <c r="N117" s="12">
        <f>IF(A117="","",SUMPRODUCT((kb_minuta_recomendacion!$D$2:$D$2000=A117)/COUNTIFS(kb_minuta_recomendacion!$D$2:$D$2000,kb_minuta_recomendacion!$D$2:$D$2000&amp;"",kb_minuta_recomendacion!$A$2:$A$2000,kb_minuta_recomendacion!$A$2:$A$2000&amp;"")))</f>
        <v/>
      </c>
      <c r="O117" s="12">
        <f>IF(A117="","",COUNTIF(kb_minuta_hallazgo!$F$2:$F$2000,A117))</f>
        <v/>
      </c>
    </row>
    <row r="118">
      <c r="A118" s="13" t="n"/>
      <c r="B118" s="13" t="n"/>
      <c r="C118" s="13" t="n"/>
      <c r="D118" s="13" t="n"/>
      <c r="E118" s="13" t="n"/>
      <c r="F118" s="13" t="n"/>
      <c r="G118" s="13" t="n"/>
      <c r="H118" s="13" t="n"/>
      <c r="I118" s="13" t="n"/>
      <c r="J118" s="13" t="n"/>
      <c r="K118" s="13" t="n"/>
      <c r="L118" s="13" t="n"/>
      <c r="M118" s="12">
        <f>IF(A118="","",COUNTIF(kb_minuta_recomendacion!$D$2:$D$2000,A118))</f>
        <v/>
      </c>
      <c r="N118" s="12">
        <f>IF(A118="","",SUMPRODUCT((kb_minuta_recomendacion!$D$2:$D$2000=A118)/COUNTIFS(kb_minuta_recomendacion!$D$2:$D$2000,kb_minuta_recomendacion!$D$2:$D$2000&amp;"",kb_minuta_recomendacion!$A$2:$A$2000,kb_minuta_recomendacion!$A$2:$A$2000&amp;"")))</f>
        <v/>
      </c>
      <c r="O118" s="12">
        <f>IF(A118="","",COUNTIF(kb_minuta_hallazgo!$F$2:$F$2000,A118))</f>
        <v/>
      </c>
    </row>
    <row r="119">
      <c r="A119" s="13" t="n"/>
      <c r="B119" s="13" t="n"/>
      <c r="C119" s="13" t="n"/>
      <c r="D119" s="13" t="n"/>
      <c r="E119" s="13" t="n"/>
      <c r="F119" s="13" t="n"/>
      <c r="G119" s="13" t="n"/>
      <c r="H119" s="13" t="n"/>
      <c r="I119" s="13" t="n"/>
      <c r="J119" s="13" t="n"/>
      <c r="K119" s="13" t="n"/>
      <c r="L119" s="13" t="n"/>
      <c r="M119" s="12">
        <f>IF(A119="","",COUNTIF(kb_minuta_recomendacion!$D$2:$D$2000,A119))</f>
        <v/>
      </c>
      <c r="N119" s="12">
        <f>IF(A119="","",SUMPRODUCT((kb_minuta_recomendacion!$D$2:$D$2000=A119)/COUNTIFS(kb_minuta_recomendacion!$D$2:$D$2000,kb_minuta_recomendacion!$D$2:$D$2000&amp;"",kb_minuta_recomendacion!$A$2:$A$2000,kb_minuta_recomendacion!$A$2:$A$2000&amp;"")))</f>
        <v/>
      </c>
      <c r="O119" s="12">
        <f>IF(A119="","",COUNTIF(kb_minuta_hallazgo!$F$2:$F$2000,A119))</f>
        <v/>
      </c>
    </row>
    <row r="120">
      <c r="A120" s="13" t="n"/>
      <c r="B120" s="13" t="n"/>
      <c r="C120" s="13" t="n"/>
      <c r="D120" s="13" t="n"/>
      <c r="E120" s="13" t="n"/>
      <c r="F120" s="13" t="n"/>
      <c r="G120" s="13" t="n"/>
      <c r="H120" s="13" t="n"/>
      <c r="I120" s="13" t="n"/>
      <c r="J120" s="13" t="n"/>
      <c r="K120" s="13" t="n"/>
      <c r="L120" s="13" t="n"/>
      <c r="M120" s="12">
        <f>IF(A120="","",COUNTIF(kb_minuta_recomendacion!$D$2:$D$2000,A120))</f>
        <v/>
      </c>
      <c r="N120" s="12">
        <f>IF(A120="","",SUMPRODUCT((kb_minuta_recomendacion!$D$2:$D$2000=A120)/COUNTIFS(kb_minuta_recomendacion!$D$2:$D$2000,kb_minuta_recomendacion!$D$2:$D$2000&amp;"",kb_minuta_recomendacion!$A$2:$A$2000,kb_minuta_recomendacion!$A$2:$A$2000&amp;"")))</f>
        <v/>
      </c>
      <c r="O120" s="12">
        <f>IF(A120="","",COUNTIF(kb_minuta_hallazgo!$F$2:$F$2000,A120))</f>
        <v/>
      </c>
    </row>
    <row r="121">
      <c r="A121" s="13" t="n"/>
      <c r="B121" s="13" t="n"/>
      <c r="C121" s="13" t="n"/>
      <c r="D121" s="13" t="n"/>
      <c r="E121" s="13" t="n"/>
      <c r="F121" s="13" t="n"/>
      <c r="G121" s="13" t="n"/>
      <c r="H121" s="13" t="n"/>
      <c r="I121" s="13" t="n"/>
      <c r="J121" s="13" t="n"/>
      <c r="K121" s="13" t="n"/>
      <c r="L121" s="13" t="n"/>
      <c r="M121" s="12">
        <f>IF(A121="","",COUNTIF(kb_minuta_recomendacion!$D$2:$D$2000,A121))</f>
        <v/>
      </c>
      <c r="N121" s="12">
        <f>IF(A121="","",SUMPRODUCT((kb_minuta_recomendacion!$D$2:$D$2000=A121)/COUNTIFS(kb_minuta_recomendacion!$D$2:$D$2000,kb_minuta_recomendacion!$D$2:$D$2000&amp;"",kb_minuta_recomendacion!$A$2:$A$2000,kb_minuta_recomendacion!$A$2:$A$2000&amp;"")))</f>
        <v/>
      </c>
      <c r="O121" s="12">
        <f>IF(A121="","",COUNTIF(kb_minuta_hallazgo!$F$2:$F$2000,A121))</f>
        <v/>
      </c>
    </row>
  </sheetData>
  <dataValidations count="4">
    <dataValidation sqref="H2:H2000" showDropDown="0" showInputMessage="0" showErrorMessage="1" allowBlank="1" errorTitle="Valor no válido" error="Elige un valor de la lista (hoja catalogos)." type="list">
      <formula1>catalogos!$Q$2:$Q$3</formula1>
    </dataValidation>
    <dataValidation sqref="I2:I2000" showDropDown="0" showInputMessage="0" showErrorMessage="1" allowBlank="1" errorTitle="Valor no válido" error="Elige un valor de la lista (hoja catalogos)." type="list">
      <formula1>catalogos!$O$2:$O$4</formula1>
    </dataValidation>
    <dataValidation sqref="J2:J2000" showDropDown="0" showInputMessage="0" showErrorMessage="1" allowBlank="1" errorTitle="Valor no válido" error="Elige un valor de la lista (hoja catalogos)." type="list">
      <formula1>kb_equipo!$A$2:$A$100</formula1>
    </dataValidation>
    <dataValidation sqref="L2:L2000" showDropDown="0" showInputMessage="0" showErrorMessage="1" allowBlank="1" errorTitle="Valor no válido" error="Elige un valor de la lista (hoja catalogos)." type="list">
      <formula1>catalogos!$G$2:$G$3</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8" customWidth="1" min="2" max="2"/>
    <col width="12" customWidth="1" min="3" max="3"/>
    <col width="44" customWidth="1" min="4" max="4"/>
    <col width="26" customWidth="1" min="5" max="5"/>
    <col width="40" customWidth="1" min="6" max="6"/>
  </cols>
  <sheetData>
    <row r="1" ht="34" customHeight="1">
      <c r="A1" s="9" t="inlineStr">
        <is>
          <t>validacion_id</t>
        </is>
      </c>
      <c r="B1" s="9" t="inlineStr">
        <is>
          <t>regla</t>
        </is>
      </c>
      <c r="C1" s="9" t="inlineStr">
        <is>
          <t>evidencias</t>
        </is>
      </c>
      <c r="D1" s="9" t="inlineStr">
        <is>
          <t>condicion</t>
        </is>
      </c>
      <c r="E1" s="9" t="inlineStr">
        <is>
          <t>estados</t>
        </is>
      </c>
      <c r="F1" s="9" t="inlineStr">
        <is>
          <t>texto_corto</t>
        </is>
      </c>
    </row>
    <row r="2">
      <c r="A2" s="10" t="inlineStr">
        <is>
          <t>V01</t>
        </is>
      </c>
      <c r="B2" s="10" t="inlineStr">
        <is>
          <t>Velocidad por cable ≥ 70 % del plan contratado</t>
        </is>
      </c>
      <c r="C2" s="10" t="inlineStr">
        <is>
          <t>E1 (por cable, P19a)</t>
        </is>
      </c>
      <c r="D2" s="10" t="inlineStr">
        <is>
          <t>mejor de 2 pruebas por cable ≥ PLAN_MIN_PORCENTAJE_CABLE % de P15; sin prueba por cable = SIN VERIFICAR</t>
        </is>
      </c>
      <c r="E2" s="10" t="inlineStr">
        <is>
          <t>CUMPLE / OBSERVADO / SIN VERIFICAR</t>
        </is>
      </c>
      <c r="F2" s="10" t="inlineStr">
        <is>
          <t>el internet no llega a lo contratado</t>
        </is>
      </c>
    </row>
    <row r="3">
      <c r="A3" s="10" t="inlineStr">
        <is>
          <t>V02</t>
        </is>
      </c>
      <c r="B3" s="10" t="inlineStr">
        <is>
          <t>Saturación: ping con carga ≤ 300 ms</t>
        </is>
      </c>
      <c r="C3" s="10" t="inlineStr">
        <is>
          <t>E1</t>
        </is>
      </c>
      <c r="D3" s="10" t="inlineStr">
        <is>
          <t>max(ping descarga, ping subida) ≤ PING_CARGA_SATURACION_MS; si no, observación (no impide el inicio)</t>
        </is>
      </c>
      <c r="E3" s="10" t="inlineStr">
        <is>
          <t>CUMPLE / OBSERVACIÓN</t>
        </is>
      </c>
      <c r="F3" s="10" t="inlineStr">
        <is>
          <t>la red se satura con carga</t>
        </is>
      </c>
    </row>
    <row r="4">
      <c r="A4" s="10" t="inlineStr">
        <is>
          <t>V03</t>
        </is>
      </c>
      <c r="B4" s="10" t="inlineStr">
        <is>
          <t>PC de caja conectada por cable</t>
        </is>
      </c>
      <c r="C4" s="10" t="inlineStr">
        <is>
          <t>E4, P23</t>
        </is>
      </c>
      <c r="D4" s="10" t="inlineStr">
        <is>
          <t>P23 ≠ WiFi y adaptador ≠ WiFi</t>
        </is>
      </c>
      <c r="E4" s="10" t="inlineStr">
        <is>
          <t>CUMPLE / OBSERVADO</t>
        </is>
      </c>
      <c r="F4" s="10" t="inlineStr">
        <is>
          <t>la PC de caja conectada por WiFi</t>
        </is>
      </c>
    </row>
    <row r="5">
      <c r="A5" s="10" t="inlineStr">
        <is>
          <t>V04</t>
        </is>
      </c>
      <c r="B5" s="10" t="inlineStr">
        <is>
          <t>Impresora de red con IP fija dentro del segmento del router</t>
        </is>
      </c>
      <c r="C5" s="10" t="inlineStr">
        <is>
          <t>E5, E4 (o E3/E8)</t>
        </is>
      </c>
      <c r="D5" s="10" t="inlineStr">
        <is>
          <t>DHCP desactivado e IP en el segmento de la puerta de enlace del ipconfig (E4); sin PC: IP de gestión E3 o gateway del escáner E8. Se valida al subir el autotest</t>
        </is>
      </c>
      <c r="E5" s="10" t="inlineStr">
        <is>
          <t>CUMPLE / OBSERVADO</t>
        </is>
      </c>
      <c r="F5" s="10" t="inlineStr">
        <is>
          <t>la impresora fuera del segmento del router</t>
        </is>
      </c>
    </row>
    <row r="6">
      <c r="A6" s="10" t="inlineStr">
        <is>
          <t>V05</t>
        </is>
      </c>
      <c r="B6" s="10" t="inlineStr">
        <is>
          <t>MAC de la impresora coincide con el escáner</t>
        </is>
      </c>
      <c r="C6" s="10" t="inlineStr">
        <is>
          <t>E5, E8</t>
        </is>
      </c>
      <c r="D6" s="10" t="inlineStr">
        <is>
          <t>MAC del ticket presente en el escáner</t>
        </is>
      </c>
      <c r="E6" s="10" t="inlineStr">
        <is>
          <t>VERIFICADO / OBSERVADO</t>
        </is>
      </c>
      <c r="F6" s="10" t="inlineStr">
        <is>
          <t>una impresora que no aparece en el escáner</t>
        </is>
      </c>
    </row>
    <row r="7">
      <c r="A7" s="10" t="inlineStr">
        <is>
          <t>V06</t>
        </is>
      </c>
      <c r="B7" s="10" t="inlineStr">
        <is>
          <t>Todos los equipos de la red documentados</t>
        </is>
      </c>
      <c r="C7" s="10" t="inlineStr">
        <is>
          <t>E8</t>
        </is>
      </c>
      <c r="D7" s="10" t="inlineStr">
        <is>
          <t>Cada IP del escáner está documentada</t>
        </is>
      </c>
      <c r="E7" s="10" t="inlineStr">
        <is>
          <t>CUMPLE / OBSERVADO</t>
        </is>
      </c>
      <c r="F7" s="10" t="inlineStr">
        <is>
          <t>equipos sin documentar</t>
        </is>
      </c>
    </row>
    <row r="8">
      <c r="A8" s="10" t="inlineStr">
        <is>
          <t>V07</t>
        </is>
      </c>
      <c r="B8" s="10" t="inlineStr">
        <is>
          <t>Proveedor consistente entre evidencias</t>
        </is>
      </c>
      <c r="C8" s="10" t="inlineStr">
        <is>
          <t>E1, P13</t>
        </is>
      </c>
      <c r="D8" s="10" t="inlineStr">
        <is>
          <t>Proveedor del speedtest = P13</t>
        </is>
      </c>
      <c r="E8" s="10" t="inlineStr">
        <is>
          <t>CUMPLE / REVISAR</t>
        </is>
      </c>
      <c r="F8" s="10" t="inlineStr">
        <is>
          <t>el proveedor distinto entre evidencias</t>
        </is>
      </c>
    </row>
    <row r="9">
      <c r="A9" s="10" t="inlineStr">
        <is>
          <t>V08</t>
        </is>
      </c>
      <c r="B9" s="10" t="inlineStr">
        <is>
          <t>Impresión sin punto único de falla</t>
        </is>
      </c>
      <c r="C9" s="10" t="inlineStr">
        <is>
          <t>P30</t>
        </is>
      </c>
      <c r="D9" s="10" t="inlineStr">
        <is>
          <t>Ninguna impresora USB</t>
        </is>
      </c>
      <c r="E9" s="10" t="inlineStr">
        <is>
          <t>OBSERVADO</t>
        </is>
      </c>
      <c r="F9" s="10" t="inlineStr">
        <is>
          <t>la dependencia de la impresora USB</t>
        </is>
      </c>
    </row>
    <row r="10">
      <c r="A10" s="10" t="inlineStr">
        <is>
          <t>V09</t>
        </is>
      </c>
      <c r="B10" s="10" t="inlineStr">
        <is>
          <t>Credenciales fuera del documento</t>
        </is>
      </c>
      <c r="C10" s="10" t="inlineStr">
        <is>
          <t>E3</t>
        </is>
      </c>
      <c r="D10" s="10" t="inlineStr">
        <is>
          <t>Datos sensibles de la etiqueta ocultos</t>
        </is>
      </c>
      <c r="E10" s="10" t="inlineStr">
        <is>
          <t>APLICADO</t>
        </is>
      </c>
      <c r="F10" s="10" t="inlineStr"/>
    </row>
    <row r="11">
      <c r="A11" s="10" t="inlineStr">
        <is>
          <t>V10</t>
        </is>
      </c>
      <c r="B11" s="10" t="inlineStr">
        <is>
          <t>Datos obligatorios completos</t>
        </is>
      </c>
      <c r="C11" s="10" t="inlineStr">
        <is>
          <t>—</t>
        </is>
      </c>
      <c r="D11" s="10" t="inlineStr">
        <is>
          <t>0 campos pendientes</t>
        </is>
      </c>
      <c r="E11" s="10" t="inlineStr">
        <is>
          <t>CUMPLE / INCOMPLETO</t>
        </is>
      </c>
      <c r="F11" s="1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13" customWidth="1" min="2" max="2"/>
    <col width="32" customWidth="1" min="3" max="3"/>
    <col width="60" customWidth="1" min="4" max="4"/>
    <col width="44" customWidth="1" min="5" max="5"/>
    <col width="20" customWidth="1" min="6" max="6"/>
  </cols>
  <sheetData>
    <row r="1" ht="34" customHeight="1">
      <c r="A1" s="9" t="inlineStr">
        <is>
          <t>equipo_id</t>
        </is>
      </c>
      <c r="B1" s="9" t="inlineStr">
        <is>
          <t>categoria</t>
        </is>
      </c>
      <c r="C1" s="9" t="inlineStr">
        <is>
          <t>nombre</t>
        </is>
      </c>
      <c r="D1" s="9" t="inlineStr">
        <is>
          <t>descripcion</t>
        </is>
      </c>
      <c r="E1" s="9" t="inlineStr">
        <is>
          <t>ejemplos_en_minutas</t>
        </is>
      </c>
      <c r="F1" s="9" t="inlineStr">
        <is>
          <t>reglas</t>
        </is>
      </c>
    </row>
    <row r="2">
      <c r="A2" s="10" t="inlineStr">
        <is>
          <t>EQ-RASPBERRY</t>
        </is>
      </c>
      <c r="B2" s="10" t="inlineStr">
        <is>
          <t>computer</t>
        </is>
      </c>
      <c r="C2" s="10" t="inlineStr">
        <is>
          <t>Kit Raspberry para impresiones</t>
        </is>
      </c>
      <c r="D2" s="10" t="inlineStr">
        <is>
          <t>Equipo dedicado al sistema de impresiones (reemplaza programas de impresión en una PC)</t>
        </is>
      </c>
      <c r="E2" s="10" t="inlineStr">
        <is>
          <t>Raspberry (Don Oscar)</t>
        </is>
      </c>
      <c r="F2" s="10" t="inlineStr">
        <is>
          <t>R02, R34, R47, R57, R60</t>
        </is>
      </c>
    </row>
    <row r="3">
      <c r="A3" s="10" t="inlineStr">
        <is>
          <t>EQ-ROUTER-4G</t>
        </is>
      </c>
      <c r="B3" s="10" t="inlineStr">
        <is>
          <t>router</t>
        </is>
      </c>
      <c r="C3" s="10" t="inlineStr">
        <is>
          <t>Router 4G de respaldo con chip</t>
        </is>
      </c>
      <c r="D3" s="10" t="inlineStr">
        <is>
          <t>Respaldo de internet ante caídas del enlace principal; chip de datos exclusivo</t>
        </is>
      </c>
      <c r="E3" s="10" t="inlineStr">
        <is>
          <t>TP-Link 4G (Don Oscar, recomendado en Sicilia)</t>
        </is>
      </c>
      <c r="F3" s="10" t="inlineStr">
        <is>
          <t>R01, R45, R56</t>
        </is>
      </c>
    </row>
    <row r="4">
      <c r="A4" s="10" t="inlineStr">
        <is>
          <t>EQ-UPS</t>
        </is>
      </c>
      <c r="B4" s="10" t="inlineStr">
        <is>
          <t>ups</t>
        </is>
      </c>
      <c r="C4" s="10" t="inlineStr">
        <is>
          <t>UPS</t>
        </is>
      </c>
      <c r="D4" s="10" t="inlineStr">
        <is>
          <t>Energía de respaldo para router, switch e impresoras</t>
        </is>
      </c>
      <c r="E4" s="10" t="inlineStr"/>
      <c r="F4" s="10" t="inlineStr">
        <is>
          <t>R04, R25</t>
        </is>
      </c>
    </row>
    <row r="5">
      <c r="A5" s="10" t="inlineStr">
        <is>
          <t>EQ-SUPRESOR</t>
        </is>
      </c>
      <c r="B5" s="10" t="inlineStr">
        <is>
          <t>energia</t>
        </is>
      </c>
      <c r="C5" s="10" t="inlineStr">
        <is>
          <t>Supresor de picos</t>
        </is>
      </c>
      <c r="D5" s="10" t="inlineStr">
        <is>
          <t>Supresor exclusivo para los equipos de red / gabinete</t>
        </is>
      </c>
      <c r="E5" s="10" t="inlineStr">
        <is>
          <t>Recomendado en Sicilia y Don Oscar</t>
        </is>
      </c>
      <c r="F5" s="10" t="inlineStr">
        <is>
          <t>R03</t>
        </is>
      </c>
    </row>
    <row r="6">
      <c r="A6" s="10" t="inlineStr">
        <is>
          <t>EQ-SWITCH-NM</t>
        </is>
      </c>
      <c r="B6" s="10" t="inlineStr">
        <is>
          <t>switch</t>
        </is>
      </c>
      <c r="C6" s="10" t="inlineStr">
        <is>
          <t>Switch no administrable 4–8 puertos</t>
        </is>
      </c>
      <c r="D6" s="10" t="inlineStr">
        <is>
          <t>Ampliar un punto de red en un área (barra, terraza)</t>
        </is>
      </c>
      <c r="E6" s="10" t="inlineStr">
        <is>
          <t>Recomendado en Sicilia (terraza) y Barrio Pesquero (barra, 3 unidades)</t>
        </is>
      </c>
      <c r="F6" s="10" t="inlineStr">
        <is>
          <t>R05, R12, R31, R48, R58</t>
        </is>
      </c>
    </row>
    <row r="7">
      <c r="A7" s="10" t="inlineStr">
        <is>
          <t>EQ-SWITCH-ADM</t>
        </is>
      </c>
      <c r="B7" s="10" t="inlineStr">
        <is>
          <t>switch</t>
        </is>
      </c>
      <c r="C7" s="10" t="inlineStr">
        <is>
          <t>Switch administrable</t>
        </is>
      </c>
      <c r="D7" s="10" t="inlineStr">
        <is>
          <t>Switch de 24 puertos con soporte VLAN</t>
        </is>
      </c>
      <c r="E7" s="10" t="inlineStr">
        <is>
          <t>Motor actual (proposal.py)</t>
        </is>
      </c>
      <c r="F7" s="10" t="inlineStr">
        <is>
          <t>R18, R21, R53</t>
        </is>
      </c>
    </row>
    <row r="8">
      <c r="A8" s="10" t="inlineStr">
        <is>
          <t>EQ-SWITCH-POE</t>
        </is>
      </c>
      <c r="B8" s="10" t="inlineStr">
        <is>
          <t>switch</t>
        </is>
      </c>
      <c r="C8" s="10" t="inlineStr">
        <is>
          <t>Switch PoE administrable</t>
        </is>
      </c>
      <c r="D8" s="10" t="inlineStr">
        <is>
          <t>Alimenta cámaras y access points por el mismo cable</t>
        </is>
      </c>
      <c r="E8" s="10" t="inlineStr">
        <is>
          <t>Motor actual (proposal.py)</t>
        </is>
      </c>
      <c r="F8" s="10" t="inlineStr">
        <is>
          <t>R20</t>
        </is>
      </c>
    </row>
    <row r="9">
      <c r="A9" s="10" t="inlineStr">
        <is>
          <t>EQ-AP-WIFI6</t>
        </is>
      </c>
      <c r="B9" s="10" t="inlineStr">
        <is>
          <t>access_point</t>
        </is>
      </c>
      <c r="C9" s="10" t="inlineStr">
        <is>
          <t>Access Point WiFi 6</t>
        </is>
      </c>
      <c r="D9" s="10" t="inlineStr">
        <is>
          <t>Punto de acceso administrable para ampliar cobertura</t>
        </is>
      </c>
      <c r="E9" s="10" t="inlineStr">
        <is>
          <t>Motor actual (proposal.py)</t>
        </is>
      </c>
      <c r="F9" s="10" t="inlineStr">
        <is>
          <t>R19</t>
        </is>
      </c>
    </row>
    <row r="10">
      <c r="A10" s="10" t="inlineStr">
        <is>
          <t>EQ-ROUTER-EMP</t>
        </is>
      </c>
      <c r="B10" s="10" t="inlineStr">
        <is>
          <t>router</t>
        </is>
      </c>
      <c r="C10" s="10" t="inlineStr">
        <is>
          <t>Router empresarial</t>
        </is>
      </c>
      <c r="D10" s="10" t="inlineStr">
        <is>
          <t>Router con firewall y administración centralizada</t>
        </is>
      </c>
      <c r="E10" s="10" t="inlineStr">
        <is>
          <t>Motor actual (proposal.py)</t>
        </is>
      </c>
      <c r="F10" s="10" t="inlineStr">
        <is>
          <t>R14, R28</t>
        </is>
      </c>
    </row>
    <row r="11">
      <c r="A11" s="10" t="inlineStr">
        <is>
          <t>EQ-GABINETE-4RU</t>
        </is>
      </c>
      <c r="B11" s="10" t="inlineStr">
        <is>
          <t>gabinete</t>
        </is>
      </c>
      <c r="C11" s="10" t="inlineStr">
        <is>
          <t>Gabinete de pared 4 RU</t>
        </is>
      </c>
      <c r="D11" s="10" t="inlineStr">
        <is>
          <t>Gabinete Nacional de pared 4 RU (24 alto x 36 ancho x 35 prof.), a 1.65 m del piso</t>
        </is>
      </c>
      <c r="E11" s="10" t="inlineStr">
        <is>
          <t>Recomendado en Don Oscar</t>
        </is>
      </c>
      <c r="F11" s="10" t="inlineStr">
        <is>
          <t>R07</t>
        </is>
      </c>
    </row>
    <row r="12">
      <c r="A12" s="10" t="inlineStr">
        <is>
          <t>EQ-CABLE-CAT6</t>
        </is>
      </c>
      <c r="B12" s="10" t="inlineStr">
        <is>
          <t>cableado</t>
        </is>
      </c>
      <c r="C12" s="10" t="inlineStr">
        <is>
          <t>Cable UTP Cat6</t>
        </is>
      </c>
      <c r="D12" s="10" t="inlineStr">
        <is>
          <t>Cable más resistente al calor; armado a medida y rotulado</t>
        </is>
      </c>
      <c r="E12" s="10" t="inlineStr">
        <is>
          <t>Instalado en Don Oscar</t>
        </is>
      </c>
      <c r="F12" s="10" t="inlineStr">
        <is>
          <t>R09, R37, R59, R64, R65</t>
        </is>
      </c>
    </row>
    <row r="13">
      <c r="A13" s="10" t="inlineStr">
        <is>
          <t>EQ-SUNMI</t>
        </is>
      </c>
      <c r="B13" s="10" t="inlineStr">
        <is>
          <t>pos</t>
        </is>
      </c>
      <c r="C13" s="10" t="inlineStr">
        <is>
          <t>Equipo Sunmi con chip</t>
        </is>
      </c>
      <c r="D13" s="10" t="inlineStr">
        <is>
          <t>Terminal con chip que imprime comprobantes, pre-cuentas y comandas. Se compra al equipo de Desarrollo de Negocios</t>
        </is>
      </c>
      <c r="E13" s="10" t="inlineStr">
        <is>
          <t>Monitor Sunmi con chip Entel (Malala)</t>
        </is>
      </c>
      <c r="F13" s="10" t="inlineStr">
        <is>
          <t>R44</t>
        </is>
      </c>
    </row>
    <row r="14">
      <c r="A14" s="10" t="inlineStr">
        <is>
          <t>EQ-PC-BASICA</t>
        </is>
      </c>
      <c r="B14" s="10" t="inlineStr">
        <is>
          <t>computer</t>
        </is>
      </c>
      <c r="C14" s="10" t="inlineStr">
        <is>
          <t>Laptop o PC básica con puerto USB</t>
        </is>
      </c>
      <c r="D14" s="10" t="inlineStr">
        <is>
          <t>Equipo de caja para imprimir pre-cuentas y comprobantes por USB, sin controlador de impresiones</t>
        </is>
      </c>
      <c r="E14" s="10" t="inlineStr">
        <is>
          <t>Regla de negocio IDPos</t>
        </is>
      </c>
      <c r="F14" s="10" t="inlineStr">
        <is>
          <t>R41, R43</t>
        </is>
      </c>
    </row>
    <row r="15">
      <c r="A15" s="13" t="n"/>
      <c r="B15" s="13" t="n"/>
      <c r="C15" s="13" t="n"/>
      <c r="D15" s="13" t="n"/>
      <c r="E15" s="13" t="n"/>
      <c r="F15" s="13" t="n"/>
    </row>
    <row r="16">
      <c r="A16" s="13" t="n"/>
      <c r="B16" s="13" t="n"/>
      <c r="C16" s="13" t="n"/>
      <c r="D16" s="13" t="n"/>
      <c r="E16" s="13" t="n"/>
      <c r="F16" s="13" t="n"/>
    </row>
    <row r="17">
      <c r="A17" s="13" t="n"/>
      <c r="B17" s="13" t="n"/>
      <c r="C17" s="13" t="n"/>
      <c r="D17" s="13" t="n"/>
      <c r="E17" s="13" t="n"/>
      <c r="F17" s="13" t="n"/>
    </row>
    <row r="18">
      <c r="A18" s="13" t="n"/>
      <c r="B18" s="13" t="n"/>
      <c r="C18" s="13" t="n"/>
      <c r="D18" s="13" t="n"/>
      <c r="E18" s="13" t="n"/>
      <c r="F18" s="13" t="n"/>
    </row>
    <row r="19">
      <c r="A19" s="13" t="n"/>
      <c r="B19" s="13" t="n"/>
      <c r="C19" s="13" t="n"/>
      <c r="D19" s="13" t="n"/>
      <c r="E19" s="13" t="n"/>
      <c r="F19" s="13" t="n"/>
    </row>
    <row r="20">
      <c r="A20" s="13" t="n"/>
      <c r="B20" s="13" t="n"/>
      <c r="C20" s="13" t="n"/>
      <c r="D20" s="13" t="n"/>
      <c r="E20" s="13" t="n"/>
      <c r="F20" s="13" t="n"/>
    </row>
    <row r="21">
      <c r="A21" s="13" t="n"/>
      <c r="B21" s="13" t="n"/>
      <c r="C21" s="13" t="n"/>
      <c r="D21" s="13" t="n"/>
      <c r="E21" s="13" t="n"/>
      <c r="F21" s="13" t="n"/>
    </row>
    <row r="22">
      <c r="A22" s="13" t="n"/>
      <c r="B22" s="13" t="n"/>
      <c r="C22" s="13" t="n"/>
      <c r="D22" s="13" t="n"/>
      <c r="E22" s="13" t="n"/>
      <c r="F22" s="13" t="n"/>
    </row>
    <row r="23">
      <c r="A23" s="13" t="n"/>
      <c r="B23" s="13" t="n"/>
      <c r="C23" s="13" t="n"/>
      <c r="D23" s="13" t="n"/>
      <c r="E23" s="13" t="n"/>
      <c r="F23" s="13" t="n"/>
    </row>
    <row r="24">
      <c r="A24" s="13" t="n"/>
      <c r="B24" s="13" t="n"/>
      <c r="C24" s="13" t="n"/>
      <c r="D24" s="13" t="n"/>
      <c r="E24" s="13" t="n"/>
      <c r="F24" s="13" t="n"/>
    </row>
    <row r="25">
      <c r="A25" s="13" t="n"/>
      <c r="B25" s="13" t="n"/>
      <c r="C25" s="13" t="n"/>
      <c r="D25" s="13" t="n"/>
      <c r="E25" s="13" t="n"/>
      <c r="F25" s="13" t="n"/>
    </row>
    <row r="26">
      <c r="A26" s="13" t="n"/>
      <c r="B26" s="13" t="n"/>
      <c r="C26" s="13" t="n"/>
      <c r="D26" s="13" t="n"/>
      <c r="E26" s="13" t="n"/>
      <c r="F26" s="13" t="n"/>
    </row>
    <row r="27">
      <c r="A27" s="13" t="n"/>
      <c r="B27" s="13" t="n"/>
      <c r="C27" s="13" t="n"/>
      <c r="D27" s="13" t="n"/>
      <c r="E27" s="13" t="n"/>
      <c r="F27" s="13" t="n"/>
    </row>
    <row r="28">
      <c r="A28" s="13" t="n"/>
      <c r="B28" s="13" t="n"/>
      <c r="C28" s="13" t="n"/>
      <c r="D28" s="13" t="n"/>
      <c r="E28" s="13" t="n"/>
      <c r="F28" s="13" t="n"/>
    </row>
    <row r="29">
      <c r="A29" s="13" t="n"/>
      <c r="B29" s="13" t="n"/>
      <c r="C29" s="13" t="n"/>
      <c r="D29" s="13" t="n"/>
      <c r="E29" s="13" t="n"/>
      <c r="F29" s="13" t="n"/>
    </row>
    <row r="30">
      <c r="A30" s="13" t="n"/>
      <c r="B30" s="13" t="n"/>
      <c r="C30" s="13" t="n"/>
      <c r="D30" s="13" t="n"/>
      <c r="E30" s="13" t="n"/>
      <c r="F30" s="13" t="n"/>
    </row>
    <row r="31">
      <c r="A31" s="13" t="n"/>
      <c r="B31" s="13" t="n"/>
      <c r="C31" s="13" t="n"/>
      <c r="D31" s="13" t="n"/>
      <c r="E31" s="13" t="n"/>
      <c r="F31" s="13" t="n"/>
    </row>
    <row r="32">
      <c r="A32" s="13" t="n"/>
      <c r="B32" s="13" t="n"/>
      <c r="C32" s="13" t="n"/>
      <c r="D32" s="13" t="n"/>
      <c r="E32" s="13" t="n"/>
      <c r="F32" s="13" t="n"/>
    </row>
    <row r="33">
      <c r="A33" s="13" t="n"/>
      <c r="B33" s="13" t="n"/>
      <c r="C33" s="13" t="n"/>
      <c r="D33" s="13" t="n"/>
      <c r="E33" s="13" t="n"/>
      <c r="F33" s="13" t="n"/>
    </row>
    <row r="34">
      <c r="A34" s="13" t="n"/>
      <c r="B34" s="13" t="n"/>
      <c r="C34" s="13" t="n"/>
      <c r="D34" s="13" t="n"/>
      <c r="E34" s="13" t="n"/>
      <c r="F34" s="13" t="n"/>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9" customWidth="1" min="2" max="2"/>
    <col width="10" customWidth="1" min="3" max="3"/>
    <col width="50" customWidth="1" min="4" max="4"/>
    <col width="32" customWidth="1" min="5" max="5"/>
  </cols>
  <sheetData>
    <row r="1" ht="34" customHeight="1">
      <c r="A1" s="9" t="inlineStr">
        <is>
          <t>clave</t>
        </is>
      </c>
      <c r="B1" s="9" t="inlineStr">
        <is>
          <t>valor</t>
        </is>
      </c>
      <c r="C1" s="9" t="inlineStr">
        <is>
          <t>unidad</t>
        </is>
      </c>
      <c r="D1" s="9" t="inlineStr">
        <is>
          <t>descripcion</t>
        </is>
      </c>
      <c r="E1" s="9" t="inlineStr">
        <is>
          <t>origen</t>
        </is>
      </c>
    </row>
    <row r="2">
      <c r="A2" s="10" t="inlineStr">
        <is>
          <t>MIN_SPEED_MBPS</t>
        </is>
      </c>
      <c r="B2" s="10" t="n">
        <v>50</v>
      </c>
      <c r="C2" s="10" t="inlineStr">
        <is>
          <t>Mbps</t>
        </is>
      </c>
      <c r="D2" s="10" t="inlineStr">
        <is>
          <t>Velocidad medida mínima para POS y tablets</t>
        </is>
      </c>
      <c r="E2" s="10" t="inlineStr">
        <is>
          <t>API: app/chat/checks.py</t>
        </is>
      </c>
    </row>
    <row r="3">
      <c r="A3" s="10" t="inlineStr">
        <is>
          <t>MAX_LATENCY_MS</t>
        </is>
      </c>
      <c r="B3" s="10" t="n">
        <v>100</v>
      </c>
      <c r="C3" s="10" t="inlineStr">
        <is>
          <t>ms</t>
        </is>
      </c>
      <c r="D3" s="10" t="inlineStr">
        <is>
          <t>Latencia máxima con la red en uso</t>
        </is>
      </c>
      <c r="E3" s="10" t="inlineStr">
        <is>
          <t>API: app/chat/checks.py</t>
        </is>
      </c>
    </row>
    <row r="4">
      <c r="A4" s="10" t="inlineStr">
        <is>
          <t>BANDWIDTH_MBPS_PER_POS</t>
        </is>
      </c>
      <c r="B4" s="10" t="n">
        <v>2</v>
      </c>
      <c r="C4" s="10" t="inlineStr">
        <is>
          <t>Mbps</t>
        </is>
      </c>
      <c r="D4" s="10" t="inlineStr">
        <is>
          <t>Demanda estimada por POS</t>
        </is>
      </c>
      <c r="E4" s="10" t="inlineStr">
        <is>
          <t>API: app/chat/proposal.py</t>
        </is>
      </c>
    </row>
    <row r="5">
      <c r="A5" s="10" t="inlineStr">
        <is>
          <t>BANDWIDTH_MBPS_PER_CAMERA</t>
        </is>
      </c>
      <c r="B5" s="10" t="n">
        <v>4</v>
      </c>
      <c r="C5" s="10" t="inlineStr">
        <is>
          <t>Mbps</t>
        </is>
      </c>
      <c r="D5" s="10" t="inlineStr">
        <is>
          <t>Demanda estimada por cámara</t>
        </is>
      </c>
      <c r="E5" s="10" t="inlineStr">
        <is>
          <t>API: app/chat/proposal.py</t>
        </is>
      </c>
    </row>
    <row r="6">
      <c r="A6" s="10" t="inlineStr">
        <is>
          <t>BANDWIDTH_MBPS_PER_WIFI_CLIENT</t>
        </is>
      </c>
      <c r="B6" s="10" t="n">
        <v>5</v>
      </c>
      <c r="C6" s="10" t="inlineStr">
        <is>
          <t>Mbps</t>
        </is>
      </c>
      <c r="D6" s="10" t="inlineStr">
        <is>
          <t>Demanda estimada por cliente WiFi</t>
        </is>
      </c>
      <c r="E6" s="10" t="inlineStr">
        <is>
          <t>API: app/chat/proposal.py</t>
        </is>
      </c>
    </row>
    <row r="7">
      <c r="A7" s="10" t="inlineStr">
        <is>
          <t>BANDWIDTH_HEADROOM</t>
        </is>
      </c>
      <c r="B7" s="10" t="n">
        <v>0.7</v>
      </c>
      <c r="C7" s="10" t="inlineStr">
        <is>
          <t>fracción</t>
        </is>
      </c>
      <c r="D7" s="10" t="inlineStr">
        <is>
          <t>El plan debe cubrir la demanda con holgura</t>
        </is>
      </c>
      <c r="E7" s="10" t="inlineStr">
        <is>
          <t>API: app/chat/proposal.py</t>
        </is>
      </c>
    </row>
    <row r="8">
      <c r="A8" s="10" t="inlineStr">
        <is>
          <t>MAX_CABLE_RUN_M</t>
        </is>
      </c>
      <c r="B8" s="10" t="n">
        <v>100</v>
      </c>
      <c r="C8" s="10" t="inlineStr">
        <is>
          <t>m</t>
        </is>
      </c>
      <c r="D8" s="10" t="inlineStr">
        <is>
          <t>Límite de cobre TIA/EIA-568</t>
        </is>
      </c>
      <c r="E8" s="10" t="inlineStr">
        <is>
          <t>API: app/chat/proposal.py</t>
        </is>
      </c>
    </row>
    <row r="9">
      <c r="A9" s="10" t="inlineStr">
        <is>
          <t>CABLE_WARNING_M</t>
        </is>
      </c>
      <c r="B9" s="10" t="n">
        <v>90</v>
      </c>
      <c r="C9" s="10" t="inlineStr">
        <is>
          <t>m</t>
        </is>
      </c>
      <c r="D9" s="10" t="inlineStr">
        <is>
          <t>Margen antes del límite de cobre</t>
        </is>
      </c>
      <c r="E9" s="10" t="inlineStr">
        <is>
          <t>API: app/chat/proposal.py</t>
        </is>
      </c>
    </row>
    <row r="10">
      <c r="A10" s="10" t="inlineStr">
        <is>
          <t>POE_BUDGET_W</t>
        </is>
      </c>
      <c r="B10" s="10" t="n">
        <v>130</v>
      </c>
      <c r="C10" s="10" t="inlineStr">
        <is>
          <t>W</t>
        </is>
      </c>
      <c r="D10" s="10" t="inlineStr">
        <is>
          <t>Presupuesto típico de switch PoE</t>
        </is>
      </c>
      <c r="E10" s="10" t="inlineStr">
        <is>
          <t>API: app/chat/proposal.py</t>
        </is>
      </c>
    </row>
    <row r="11">
      <c r="A11" s="10" t="inlineStr">
        <is>
          <t>CAMERA_POE_W</t>
        </is>
      </c>
      <c r="B11" s="10" t="n">
        <v>7</v>
      </c>
      <c r="C11" s="10" t="inlineStr">
        <is>
          <t>W</t>
        </is>
      </c>
      <c r="D11" s="10" t="inlineStr">
        <is>
          <t>Consumo PoE por cámara</t>
        </is>
      </c>
      <c r="E11" s="10" t="inlineStr">
        <is>
          <t>API: app/chat/proposal.py</t>
        </is>
      </c>
    </row>
    <row r="12">
      <c r="A12" s="10" t="inlineStr">
        <is>
          <t>AP_POE_W</t>
        </is>
      </c>
      <c r="B12" s="10" t="n">
        <v>15</v>
      </c>
      <c r="C12" s="10" t="inlineStr">
        <is>
          <t>W</t>
        </is>
      </c>
      <c r="D12" s="10" t="inlineStr">
        <is>
          <t>Consumo PoE por access point</t>
        </is>
      </c>
      <c r="E12" s="10" t="inlineStr">
        <is>
          <t>API: app/chat/proposal.py</t>
        </is>
      </c>
    </row>
    <row r="13">
      <c r="A13" s="10" t="inlineStr">
        <is>
          <t>REDUNDANCY_POS_THRESHOLD</t>
        </is>
      </c>
      <c r="B13" s="10" t="n">
        <v>3</v>
      </c>
      <c r="C13" s="10" t="inlineStr">
        <is>
          <t>POS</t>
        </is>
      </c>
      <c r="D13" s="10" t="inlineStr">
        <is>
          <t>Desde aquí un solo enlace es riesgo</t>
        </is>
      </c>
      <c r="E13" s="10" t="inlineStr">
        <is>
          <t>API: app/chat/proposal.py</t>
        </is>
      </c>
    </row>
    <row r="14">
      <c r="A14" s="10" t="inlineStr">
        <is>
          <t>ALTURA_GABINETE_M</t>
        </is>
      </c>
      <c r="B14" s="10" t="n">
        <v>1.65</v>
      </c>
      <c r="C14" s="10" t="inlineStr">
        <is>
          <t>m</t>
        </is>
      </c>
      <c r="D14" s="10" t="inlineStr">
        <is>
          <t>Altura de instalación del gabinete de pared</t>
        </is>
      </c>
      <c r="E14" s="10" t="inlineStr">
        <is>
          <t>Minuta Don Oscar</t>
        </is>
      </c>
    </row>
    <row r="15">
      <c r="A15" s="10" t="inlineStr">
        <is>
          <t>SWITCH_PUERTO_UPLINK</t>
        </is>
      </c>
      <c r="B15" s="10" t="n">
        <v>1</v>
      </c>
      <c r="C15" s="10" t="inlineStr">
        <is>
          <t>puertos</t>
        </is>
      </c>
      <c r="D15" s="10" t="inlineStr">
        <is>
          <t>Puerto del switch (y del router) que se usa para unirlos</t>
        </is>
      </c>
      <c r="E15" s="10" t="inlineStr">
        <is>
          <t>Regla de negocio IDPos</t>
        </is>
      </c>
    </row>
    <row r="16">
      <c r="A16" s="10" t="inlineStr">
        <is>
          <t>SWITCH_TAMANOS</t>
        </is>
      </c>
      <c r="B16" s="10" t="n">
        <v>5</v>
      </c>
      <c r="C16" s="10" t="inlineStr">
        <is>
          <t>puertos</t>
        </is>
      </c>
      <c r="D16" s="10" t="inlineStr">
        <is>
          <t>Tamaños comerciales a recomendar: 5, 8, 16, 24 (se elige el menor que alcance)</t>
        </is>
      </c>
      <c r="E16" s="10" t="inlineStr">
        <is>
          <t>Regla de negocio IDPos</t>
        </is>
      </c>
    </row>
    <row r="17">
      <c r="A17" s="10" t="inlineStr">
        <is>
          <t>PLAN_RECOMENDADO_CON_REPETIDOR_MBPS</t>
        </is>
      </c>
      <c r="B17" s="10" t="n">
        <v>500</v>
      </c>
      <c r="C17" s="10" t="inlineStr">
        <is>
          <t>Mbps</t>
        </is>
      </c>
      <c r="D17" s="10" t="inlineStr">
        <is>
          <t>Plan sugerido cuando el plan es bajo y hay zonas por repetir</t>
        </is>
      </c>
      <c r="E17" s="10" t="inlineStr">
        <is>
          <t>Regla de negocio IDPos (2026-10-08)</t>
        </is>
      </c>
    </row>
    <row r="18">
      <c r="A18" s="10" t="inlineStr">
        <is>
          <t>PLAN_RECOMENDADO_CON_CAMARAS_MBPS</t>
        </is>
      </c>
      <c r="B18" s="10" t="n">
        <v>1000</v>
      </c>
      <c r="C18" s="10" t="inlineStr">
        <is>
          <t>Mbps</t>
        </is>
      </c>
      <c r="D18" s="10" t="inlineStr">
        <is>
          <t>Plan obligatorio a sugerir cuando hay cámaras de seguridad</t>
        </is>
      </c>
      <c r="E18" s="10" t="inlineStr">
        <is>
          <t>Regla de negocio IDPos (2026-10-08)</t>
        </is>
      </c>
    </row>
    <row r="19">
      <c r="A19" s="10" t="inlineStr">
        <is>
          <t>MBPS_POR_SALON</t>
        </is>
      </c>
      <c r="B19" s="10" t="n">
        <v>200</v>
      </c>
      <c r="C19" s="10" t="inlineStr">
        <is>
          <t>Mbps</t>
        </is>
      </c>
      <c r="D19" s="10" t="inlineStr">
        <is>
          <t>Plan mínimo por cada salón de atención</t>
        </is>
      </c>
      <c r="E19" s="10" t="inlineStr">
        <is>
          <t>Regla de negocio IDPos (2026-10-08)</t>
        </is>
      </c>
    </row>
    <row r="20">
      <c r="A20" s="10" t="inlineStr">
        <is>
          <t>PENALIZACION_SIN_WIFI</t>
        </is>
      </c>
      <c r="B20" s="10" t="n">
        <v>10</v>
      </c>
      <c r="C20" s="10" t="inlineStr">
        <is>
          <t>puntos</t>
        </is>
      </c>
      <c r="D20" s="10" t="inlineStr">
        <is>
          <t>Se resta una sola vez si falta WiFi en alguna área de atención</t>
        </is>
      </c>
      <c r="E20" s="10" t="inlineStr">
        <is>
          <t>Regla de negocio IDPos (2026-10-08)</t>
        </is>
      </c>
    </row>
    <row r="21">
      <c r="A21" s="10" t="inlineStr">
        <is>
          <t>PLAN_MIN_PORCENTAJE_CABLE</t>
        </is>
      </c>
      <c r="B21" s="10" t="n">
        <v>70</v>
      </c>
      <c r="C21" s="10" t="inlineStr">
        <is>
          <t>%</t>
        </is>
      </c>
      <c r="D21" s="10" t="inlineStr">
        <is>
          <t>La mejor de 2 pruebas por cable debe llegar a este % del plan contratado (P15)</t>
        </is>
      </c>
      <c r="E21" s="10" t="inlineStr">
        <is>
          <t>Propuesto (2026-10-11)</t>
        </is>
      </c>
    </row>
    <row r="22">
      <c r="A22" s="10" t="inlineStr">
        <is>
          <t>TOPE_100MBPS_DESDE</t>
        </is>
      </c>
      <c r="B22" s="10" t="n">
        <v>85</v>
      </c>
      <c r="C22" s="10" t="inlineStr">
        <is>
          <t>Mbps</t>
        </is>
      </c>
      <c r="D22" s="10" t="inlineStr">
        <is>
          <t>Prueba por cable entre 85 y 95 Mbps con plan mayor: velocidad limitada por switch/puerto/cable</t>
        </is>
      </c>
      <c r="E22" s="10" t="inlineStr">
        <is>
          <t>Propuesto (2026-10-11)</t>
        </is>
      </c>
    </row>
    <row r="23">
      <c r="A23" s="10" t="inlineStr">
        <is>
          <t>TOPE_100MBPS_HASTA</t>
        </is>
      </c>
      <c r="B23" s="10" t="n">
        <v>95</v>
      </c>
      <c r="C23" s="10" t="inlineStr">
        <is>
          <t>Mbps</t>
        </is>
      </c>
      <c r="D23" s="10" t="inlineStr">
        <is>
          <t>Límite superior del rango anterior</t>
        </is>
      </c>
      <c r="E23" s="10" t="inlineStr">
        <is>
          <t>Propuesto (2026-10-11)</t>
        </is>
      </c>
    </row>
    <row r="24">
      <c r="A24" s="10" t="inlineStr">
        <is>
          <t>PING_CARGA_SATURACION_MS</t>
        </is>
      </c>
      <c r="B24" s="10" t="n">
        <v>300</v>
      </c>
      <c r="C24" s="10" t="inlineStr">
        <is>
          <t>ms</t>
        </is>
      </c>
      <c r="D24" s="10" t="inlineStr">
        <is>
          <t>Ping durante descarga o subida por encima de esto: observación de saturación</t>
        </is>
      </c>
      <c r="E24" s="10" t="inlineStr">
        <is>
          <t>Propuesto (2026-10-11)</t>
        </is>
      </c>
    </row>
    <row r="25">
      <c r="A25" s="10" t="inlineStr">
        <is>
          <t>ZONA_MIN_DESCARGA_MBPS</t>
        </is>
      </c>
      <c r="B25" s="10" t="n">
        <v>5</v>
      </c>
      <c r="C25" s="10" t="inlineStr">
        <is>
          <t>Mbps</t>
        </is>
      </c>
      <c r="D25" s="10" t="inlineStr">
        <is>
          <t>WiFi por zona: por debajo es 'Mala' (≥20 excelente, 10–20 buena, 5–10 regular)</t>
        </is>
      </c>
      <c r="E25" s="10" t="inlineStr">
        <is>
          <t>Propuesto (2026-10-11)</t>
        </is>
      </c>
    </row>
    <row r="26">
      <c r="A26" s="10" t="inlineStr">
        <is>
          <t>ZONA_MIN_SUBIDA_MBPS</t>
        </is>
      </c>
      <c r="B26" s="10" t="n">
        <v>2</v>
      </c>
      <c r="C26" s="10" t="inlineStr">
        <is>
          <t>Mbps</t>
        </is>
      </c>
      <c r="D26" s="10" t="inlineStr">
        <is>
          <t>WiFi por zona: por debajo es 'Mala' (≥10 excelente, 5–10 buena, 2–5 regular)</t>
        </is>
      </c>
      <c r="E26" s="10" t="inlineStr">
        <is>
          <t>Propuesto (2026-10-11)</t>
        </is>
      </c>
    </row>
    <row r="27">
      <c r="A27" s="10" t="inlineStr">
        <is>
          <t>ZONA_MAX_PING_MS</t>
        </is>
      </c>
      <c r="B27" s="10" t="n">
        <v>200</v>
      </c>
      <c r="C27" s="10" t="inlineStr">
        <is>
          <t>ms</t>
        </is>
      </c>
      <c r="D27" s="10" t="inlineStr">
        <is>
          <t>WiFi por zona: por encima es 'Mala' (&lt;50 excelente, 50–100 buena, 100–200 regular)</t>
        </is>
      </c>
      <c r="E27" s="10" t="inlineStr">
        <is>
          <t>Propuesto (2026-10-11)</t>
        </is>
      </c>
    </row>
    <row r="28">
      <c r="A28" s="10" t="inlineStr">
        <is>
          <t>ZONA_MIN_SENAL_DBM</t>
        </is>
      </c>
      <c r="B28" s="10" t="n">
        <v>-75</v>
      </c>
      <c r="C28" s="10" t="inlineStr">
        <is>
          <t>dBm</t>
        </is>
      </c>
      <c r="D28" s="10" t="inlineStr">
        <is>
          <t>WiFi por zona: por debajo es 'Mala' (≥−60 excelente, −60 a −67 buena, −67 a −75 regular)</t>
        </is>
      </c>
      <c r="E28" s="10" t="inlineStr">
        <is>
          <t>Propuesto (2026-10-11)</t>
        </is>
      </c>
    </row>
    <row r="29">
      <c r="A29" s="13" t="n"/>
      <c r="B29" s="13" t="n"/>
      <c r="C29" s="13" t="n"/>
      <c r="D29" s="13" t="n"/>
      <c r="E29" s="13" t="n"/>
    </row>
    <row r="30">
      <c r="A30" s="13" t="n"/>
      <c r="B30" s="13" t="n"/>
      <c r="C30" s="13" t="n"/>
      <c r="D30" s="13" t="n"/>
      <c r="E30" s="13" t="n"/>
    </row>
    <row r="31">
      <c r="A31" s="13" t="n"/>
      <c r="B31" s="13" t="n"/>
      <c r="C31" s="13" t="n"/>
      <c r="D31" s="13" t="n"/>
      <c r="E31" s="13" t="n"/>
    </row>
    <row r="32">
      <c r="A32" s="13" t="n"/>
      <c r="B32" s="13" t="n"/>
      <c r="C32" s="13" t="n"/>
      <c r="D32" s="13" t="n"/>
      <c r="E32" s="13" t="n"/>
    </row>
    <row r="33">
      <c r="A33" s="13" t="n"/>
      <c r="B33" s="13" t="n"/>
      <c r="C33" s="13" t="n"/>
      <c r="D33" s="13" t="n"/>
      <c r="E33" s="13" t="n"/>
    </row>
    <row r="34">
      <c r="A34" s="13" t="n"/>
      <c r="B34" s="13" t="n"/>
      <c r="C34" s="13" t="n"/>
      <c r="D34" s="13" t="n"/>
      <c r="E34" s="13" t="n"/>
    </row>
    <row r="35">
      <c r="A35" s="13" t="n"/>
      <c r="B35" s="13" t="n"/>
      <c r="C35" s="13" t="n"/>
      <c r="D35" s="13" t="n"/>
      <c r="E35" s="13" t="n"/>
    </row>
    <row r="36">
      <c r="A36" s="13" t="n"/>
      <c r="B36" s="13" t="n"/>
      <c r="C36" s="13" t="n"/>
      <c r="D36" s="13" t="n"/>
      <c r="E36" s="13" t="n"/>
    </row>
    <row r="37">
      <c r="A37" s="13" t="n"/>
      <c r="B37" s="13" t="n"/>
      <c r="C37" s="13" t="n"/>
      <c r="D37" s="13" t="n"/>
      <c r="E37" s="13" t="n"/>
    </row>
    <row r="38">
      <c r="A38" s="13" t="n"/>
      <c r="B38" s="13" t="n"/>
      <c r="C38" s="13" t="n"/>
      <c r="D38" s="13" t="n"/>
      <c r="E38" s="13"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10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8" customWidth="1" min="2" max="2"/>
    <col width="60" customWidth="1" min="3" max="3"/>
    <col width="14" customWidth="1" min="4" max="4"/>
    <col width="80" customWidth="1" min="5" max="5"/>
  </cols>
  <sheetData>
    <row r="1" ht="34" customHeight="1">
      <c r="A1" s="9" t="inlineStr">
        <is>
          <t>pregunta_id</t>
        </is>
      </c>
      <c r="B1" s="9" t="inlineStr">
        <is>
          <t>bloque</t>
        </is>
      </c>
      <c r="C1" s="9" t="inlineStr">
        <is>
          <t>texto</t>
        </is>
      </c>
      <c r="D1" s="9" t="inlineStr">
        <is>
          <t>tipo_entrada</t>
        </is>
      </c>
      <c r="E1" s="9" t="inlineStr">
        <is>
          <t>opciones (valor = etiqueta)</t>
        </is>
      </c>
    </row>
    <row r="2">
      <c r="A2" s="10" t="inlineStr">
        <is>
          <t>P01</t>
        </is>
      </c>
      <c r="B2" s="10" t="inlineStr">
        <is>
          <t>A</t>
        </is>
      </c>
      <c r="C2" s="10" t="inlineStr">
        <is>
          <t>¿Cuál es el nombre del cliente o razón social?</t>
        </is>
      </c>
      <c r="D2" s="10" t="inlineStr">
        <is>
          <t>TEXT</t>
        </is>
      </c>
      <c r="E2" s="10" t="inlineStr"/>
    </row>
    <row r="3">
      <c r="A3" s="10" t="inlineStr">
        <is>
          <t>P02</t>
        </is>
      </c>
      <c r="B3" s="10" t="inlineStr">
        <is>
          <t>A</t>
        </is>
      </c>
      <c r="C3" s="10" t="inlineStr">
        <is>
          <t>¿Cuál es el nombre del local o sede?</t>
        </is>
      </c>
      <c r="D3" s="10" t="inlineStr">
        <is>
          <t>TEXT</t>
        </is>
      </c>
      <c r="E3" s="10" t="inlineStr"/>
    </row>
    <row r="4">
      <c r="A4" s="10" t="inlineStr">
        <is>
          <t>P03</t>
        </is>
      </c>
      <c r="B4" s="10" t="inlineStr">
        <is>
          <t>A</t>
        </is>
      </c>
      <c r="C4" s="10" t="inlineStr">
        <is>
          <t>¿Cuál es la dirección del local?</t>
        </is>
      </c>
      <c r="D4" s="10" t="inlineStr">
        <is>
          <t>TEXT</t>
        </is>
      </c>
      <c r="E4" s="10" t="inlineStr"/>
    </row>
    <row r="5">
      <c r="A5" s="10" t="inlineStr">
        <is>
          <t>P04</t>
        </is>
      </c>
      <c r="B5" s="10" t="inlineStr">
        <is>
          <t>A</t>
        </is>
      </c>
      <c r="C5" s="10" t="inlineStr">
        <is>
          <t>¿Quién es el contacto en el local? (nombre y cargo)</t>
        </is>
      </c>
      <c r="D5" s="10" t="inlineStr">
        <is>
          <t>TEXT</t>
        </is>
      </c>
      <c r="E5" s="10" t="inlineStr"/>
    </row>
    <row r="6">
      <c r="A6" s="10" t="inlineStr">
        <is>
          <t>P05</t>
        </is>
      </c>
      <c r="B6" s="10" t="inlineStr">
        <is>
          <t>A</t>
        </is>
      </c>
      <c r="C6" s="10" t="inlineStr">
        <is>
          <t>¿Cuál es el teléfono del contacto?</t>
        </is>
      </c>
      <c r="D6" s="10" t="inlineStr">
        <is>
          <t>TEXT</t>
        </is>
      </c>
      <c r="E6" s="10" t="inlineStr"/>
    </row>
    <row r="7">
      <c r="A7" s="10" t="inlineStr">
        <is>
          <t>P06</t>
        </is>
      </c>
      <c r="B7" s="10" t="inlineStr">
        <is>
          <t>A</t>
        </is>
      </c>
      <c r="C7" s="10" t="inlineStr">
        <is>
          <t>Fecha de la visita</t>
        </is>
      </c>
      <c r="D7" s="10" t="inlineStr">
        <is>
          <t>TEXT</t>
        </is>
      </c>
      <c r="E7" s="10" t="inlineStr"/>
    </row>
    <row r="8">
      <c r="A8" s="10" t="inlineStr">
        <is>
          <t>P07</t>
        </is>
      </c>
      <c r="B8" s="10" t="inlineStr">
        <is>
          <t>A</t>
        </is>
      </c>
      <c r="C8" s="10" t="inlineStr">
        <is>
          <t>Técnico responsable</t>
        </is>
      </c>
      <c r="D8" s="10" t="inlineStr">
        <is>
          <t>TEXT</t>
        </is>
      </c>
      <c r="E8" s="10" t="inlineStr"/>
    </row>
    <row r="9">
      <c r="A9" s="10" t="inlineStr">
        <is>
          <t>P08</t>
        </is>
      </c>
      <c r="B9" s="10" t="inlineStr">
        <is>
          <t>A</t>
        </is>
      </c>
      <c r="C9" s="10" t="inlineStr">
        <is>
          <t>¿Cuál es el estado del local? (OPCIONES PROPUESTAS)</t>
        </is>
      </c>
      <c r="D9" s="10" t="inlineStr">
        <is>
          <t>CHOICE</t>
        </is>
      </c>
      <c r="E9" s="10" t="inlineStr">
        <is>
          <t>EN_OPERACION = En operación · EN_OBRA = En obra · POR_INAUGURAR = Por inaugurar · SISTEMA_ANTERIOR = Ya cuenta con un sistema de punto de venta anterior · OTRO = Otro (escribir)</t>
        </is>
      </c>
    </row>
    <row r="10">
      <c r="A10" s="10" t="inlineStr">
        <is>
          <t>P08a</t>
        </is>
      </c>
      <c r="B10" s="10" t="inlineStr">
        <is>
          <t>A</t>
        </is>
      </c>
      <c r="C10" s="10" t="inlineStr">
        <is>
          <t>Escribe cuál es el estado del local (PROPUESTA)</t>
        </is>
      </c>
      <c r="D10" s="10" t="inlineStr">
        <is>
          <t>TEXT</t>
        </is>
      </c>
      <c r="E10" s="10" t="inlineStr"/>
    </row>
    <row r="11">
      <c r="A11" s="10" t="inlineStr">
        <is>
          <t>P09</t>
        </is>
      </c>
      <c r="B11" s="10" t="inlineStr">
        <is>
          <t>B</t>
        </is>
      </c>
      <c r="C11" s="10" t="inlineStr">
        <is>
          <t>¿Qué tipo de negocio es? (OPCIONES PROPUESTAS)</t>
        </is>
      </c>
      <c r="D11" s="10" t="inlineStr">
        <is>
          <t>CHOICE</t>
        </is>
      </c>
      <c r="E11" s="10" t="inlineStr">
        <is>
          <t>REST_PESCADOS = Restaurante – Pescados y mariscos · REST_ORIENTAL = Restaurante – Comida oriental (makis, ramen, sushi) · RESTAURANTE = Restaurante (otro tipo de comida) · CHIFA = Chifa · PIZZERIA = Pizzería · PARRILLA = Parrilla / Anticuchería · POLLERIA = Pollería · FAST_FOOD = Fast food · RESTOBAR = Restobar · DISCOTECA_BAR = Discoteca o bar · CAFETERIA = Cafetería · HELADERIA = Heladería · HOSPEDAJE = Hotel · RETAIL = Retail – Supermercado · OTRO = Otro (escribir)</t>
        </is>
      </c>
    </row>
    <row r="12">
      <c r="A12" s="10" t="inlineStr">
        <is>
          <t>P09a</t>
        </is>
      </c>
      <c r="B12" s="10" t="inlineStr">
        <is>
          <t>B</t>
        </is>
      </c>
      <c r="C12" s="10" t="inlineStr">
        <is>
          <t>Solo si P09 = Otro: ¿qué tipo de negocio es? (PROPUESTA: aún no está en el flujo)</t>
        </is>
      </c>
      <c r="D12" s="10" t="inlineStr">
        <is>
          <t>TEXT</t>
        </is>
      </c>
      <c r="E12" s="10" t="inlineStr"/>
    </row>
    <row r="13">
      <c r="A13" s="10" t="inlineStr">
        <is>
          <t>P09c</t>
        </is>
      </c>
      <c r="B13" s="10" t="inlineStr">
        <is>
          <t>B</t>
        </is>
      </c>
      <c r="C13" s="10" t="inlineStr">
        <is>
          <t>Solo Fast food, Cafetería y Heladería: ¿hay mozos que toman pedidos con tablet o celular? (PROPUESTA: aún no está en el flujo)</t>
        </is>
      </c>
      <c r="D13" s="10" t="inlineStr">
        <is>
          <t>YES_NO</t>
        </is>
      </c>
      <c r="E13" s="10" t="inlineStr">
        <is>
          <t>SI · NO</t>
        </is>
      </c>
    </row>
    <row r="14">
      <c r="A14" s="10" t="inlineStr">
        <is>
          <t>P10</t>
        </is>
      </c>
      <c r="B14" s="10" t="inlineStr">
        <is>
          <t>B</t>
        </is>
      </c>
      <c r="C14" s="10" t="inlineStr">
        <is>
          <t>¿Cuántos pisos tiene el negocio?</t>
        </is>
      </c>
      <c r="D14" s="10" t="inlineStr">
        <is>
          <t>NUMBER</t>
        </is>
      </c>
      <c r="E14" s="10" t="inlineStr"/>
    </row>
    <row r="15">
      <c r="A15" s="10" t="inlineStr">
        <is>
          <t>P11</t>
        </is>
      </c>
      <c r="B15" s="10" t="inlineStr">
        <is>
          <t>B</t>
        </is>
      </c>
      <c r="C15" s="10" t="inlineStr">
        <is>
          <t>¿Qué áreas tiene el local?</t>
        </is>
      </c>
      <c r="D15" s="10" t="inlineStr">
        <is>
          <t>MULTI_SELECT</t>
        </is>
      </c>
      <c r="E15" s="10" t="inlineStr">
        <is>
          <t>SALON_1 = Salón 1 · SALON_2 = Salón 2 · TERRAZA = Terraza · BAR = Bar · CAJA = Caja · COCINA = Cocina · DESPACHO = Despacho · PIZZA = Pizza · BRASAS = Brasas · JUGOS = Jugos · CAFETERIA = Cafetería · PARRILLA = Parrillas · MAKIS = Makis · RAMEN = Ramen · PANADERIA = Panadería · ALMACEN = Almacén · OFICINA = Oficina · OTRO = Otro · FRITURAS = Frituras (propuesta) · SALTEADOS = Salteados (propuesta) · HELADOS = Barra de helados (propuesta) · EMPAQUETADO = Empaquetados (propuesta) · BARRA_1 = Barra 1 (propuesta) · BARRA_2 = Barra 2 (propuesta) · BARRA_3 = Barra 3 (propuesta) · COCINA_1 = Cocina 1 (propuesta) · COCINA_2 = Cocina 2 (propuesta) · SALON_3 = Salón 3 (propuesta) · BALCON = Balcón (propuesta) · PRIVADO = Privado (propuesta) · PATIO = Patio (propuesta) · PISTA = Pista de baile (propuesta) · FRENTE_LOCAL = Frente del local (propuesta) · AREAS_COMUNES = Áreas comunes (propuesta) · PARA_LLEVAR = Para llevar (sin WiFi) (propuesta) · DELIVERY = Delivery (sin WiFi) (propuesta) · RECEPCION = Recepción (propuesta)</t>
        </is>
      </c>
    </row>
    <row r="16">
      <c r="A16" s="10" t="inlineStr">
        <is>
          <t>P11e</t>
        </is>
      </c>
      <c r="B16" s="10" t="inlineStr">
        <is>
          <t>B</t>
        </is>
      </c>
      <c r="C16" s="10" t="inlineStr">
        <is>
          <t>Un {rubro} normalmente tiene: {areas sugeridas}. ¿Es así? (PROPUESTA: aún no está en el flujo)</t>
        </is>
      </c>
      <c r="D16" s="10" t="inlineStr">
        <is>
          <t>CHOICE</t>
        </is>
      </c>
      <c r="E16" s="10" t="inlineStr">
        <is>
          <t>CONFIRMAR = Sí, es correcto · EDITAR = Agregar o quitar áreas</t>
        </is>
      </c>
    </row>
    <row r="17">
      <c r="A17" s="10" t="inlineStr">
        <is>
          <t>P11f</t>
        </is>
      </c>
      <c r="B17" s="10" t="inlineStr">
        <is>
          <t>B</t>
        </is>
      </c>
      <c r="C17" s="10" t="inlineStr">
        <is>
          <t>¿Qué canales de atención tiene el local? Puedes elegir varios. (PROPUESTA: aún no está en el flujo)</t>
        </is>
      </c>
      <c r="D17" s="10" t="inlineStr">
        <is>
          <t>MULTI_SELECT</t>
        </is>
      </c>
      <c r="E17" s="10" t="inlineStr">
        <is>
          <t>MESA = Mesa · RECOJO = Recojo · PARA_LLEVAR = Para llevar · BACKOFFICE = Backoffice · DELIVERY = Delivery · OTRO = Otro (escribir)</t>
        </is>
      </c>
    </row>
    <row r="18">
      <c r="A18" s="10" t="inlineStr">
        <is>
          <t>P11g</t>
        </is>
      </c>
      <c r="B18" s="10" t="inlineStr">
        <is>
          <t>B</t>
        </is>
      </c>
      <c r="C18" s="10" t="inlineStr">
        <is>
          <t>Por cada canal: ¿qué zonas de atención tiene {canal}? (sugeridas + Otro, varias veces) (PROPUESTA: aún no está en el flujo)</t>
        </is>
      </c>
      <c r="D18" s="10" t="inlineStr">
        <is>
          <t>MULTI_SELECT</t>
        </is>
      </c>
      <c r="E18" s="10" t="inlineStr"/>
    </row>
    <row r="19">
      <c r="A19" s="10" t="inlineStr">
        <is>
          <t>P11b</t>
        </is>
      </c>
      <c r="B19" s="10" t="inlineStr">
        <is>
          <t>B</t>
        </is>
      </c>
      <c r="C19" s="10" t="inlineStr">
        <is>
          <t>Solo si P11 incluye Otro: escribe el nombre del área (ej. Cocina 2, Barra 2, Barra 3) (PROPUESTA: aún no está en el flujo)</t>
        </is>
      </c>
      <c r="D19" s="10" t="inlineStr">
        <is>
          <t>TEXT</t>
        </is>
      </c>
      <c r="E19" s="10" t="inlineStr"/>
    </row>
    <row r="20">
      <c r="A20" s="10" t="inlineStr">
        <is>
          <t>P11c</t>
        </is>
      </c>
      <c r="B20" s="10" t="inlineStr">
        <is>
          <t>B</t>
        </is>
      </c>
      <c r="C20" s="10" t="inlineStr">
        <is>
          <t>{area}: ¿es un área de preparación (salen comandas ahí)? (PROPUESTA: aún no está en el flujo)</t>
        </is>
      </c>
      <c r="D20" s="10" t="inlineStr">
        <is>
          <t>YES_NO</t>
        </is>
      </c>
      <c r="E20" s="10" t="inlineStr">
        <is>
          <t>SI · NO</t>
        </is>
      </c>
    </row>
    <row r="21">
      <c r="A21" s="10" t="inlineStr">
        <is>
          <t>P11a</t>
        </is>
      </c>
      <c r="B21" s="10" t="inlineStr">
        <is>
          <t>B</t>
        </is>
      </c>
      <c r="C21" s="10" t="inlineStr">
        <is>
          <t>¿En qué piso está el área {item.label}?</t>
        </is>
      </c>
      <c r="D21" s="10" t="inlineStr">
        <is>
          <t>CHOICE</t>
        </is>
      </c>
      <c r="E21" s="10" t="inlineStr">
        <is>
          <t>Dinámico: rango de pisos</t>
        </is>
      </c>
    </row>
    <row r="22">
      <c r="A22" s="10" t="inlineStr">
        <is>
          <t>P11d</t>
        </is>
      </c>
      <c r="B22" s="10" t="inlineStr">
        <is>
          <t>B</t>
        </is>
      </c>
      <c r="C22" s="10" t="inlineStr">
        <is>
          <t>Solo si en P11a eligió Otro: ¿dónde está {area}? (escribe la ubicación) (PROPUESTA: aún no está en el flujo)</t>
        </is>
      </c>
      <c r="D22" s="10" t="inlineStr">
        <is>
          <t>TEXT</t>
        </is>
      </c>
      <c r="E22" s="10" t="inlineStr"/>
    </row>
    <row r="23">
      <c r="A23" s="10" t="inlineStr">
        <is>
          <t>P12</t>
        </is>
      </c>
      <c r="B23" s="10" t="inlineStr">
        <is>
          <t>B</t>
        </is>
      </c>
      <c r="C23" s="10" t="inlineStr">
        <is>
          <t>¿Cuántas cajas hay?</t>
        </is>
      </c>
      <c r="D23" s="10" t="inlineStr">
        <is>
          <t>NUMBER</t>
        </is>
      </c>
      <c r="E23" s="10" t="inlineStr"/>
    </row>
    <row r="24">
      <c r="A24" s="10" t="inlineStr">
        <is>
          <t>P12a</t>
        </is>
      </c>
      <c r="B24" s="10" t="inlineStr">
        <is>
          <t>B</t>
        </is>
      </c>
      <c r="C24" s="10" t="inlineStr">
        <is>
          <t>[Derivado de P11] ¿Hay áreas de preparación fuera de caja que necesitan comandas? (PROPUESTA: aún no está en el flujo)</t>
        </is>
      </c>
      <c r="D24" s="10" t="inlineStr">
        <is>
          <t>YES_NO</t>
        </is>
      </c>
      <c r="E24" s="10" t="inlineStr">
        <is>
          <t>SI · NO</t>
        </is>
      </c>
    </row>
    <row r="25">
      <c r="A25" s="10" t="inlineStr">
        <is>
          <t>P12b</t>
        </is>
      </c>
      <c r="B25" s="10" t="inlineStr">
        <is>
          <t>B</t>
        </is>
      </c>
      <c r="C25" s="10" t="inlineStr">
        <is>
          <t>¿En caja saldrán comandas? (PROPUESTA: aún no está en el flujo)</t>
        </is>
      </c>
      <c r="D25" s="10" t="inlineStr">
        <is>
          <t>YES_NO</t>
        </is>
      </c>
      <c r="E25" s="10" t="inlineStr">
        <is>
          <t>SI · NO</t>
        </is>
      </c>
    </row>
    <row r="26">
      <c r="A26" s="10" t="inlineStr">
        <is>
          <t>P12c</t>
        </is>
      </c>
      <c r="B26" s="10" t="inlineStr">
        <is>
          <t>B</t>
        </is>
      </c>
      <c r="C26" s="10" t="inlineStr">
        <is>
          <t>Solo si P12 &gt; 1, por cada barra: ¿a qué caja está asociada {barra}? (PROPUESTA: aún no está en el flujo)</t>
        </is>
      </c>
      <c r="D26" s="10" t="inlineStr">
        <is>
          <t>CHOICE</t>
        </is>
      </c>
      <c r="E26" s="10" t="inlineStr"/>
    </row>
    <row r="27">
      <c r="A27" s="10" t="inlineStr">
        <is>
          <t>P12d</t>
        </is>
      </c>
      <c r="B27" s="10" t="inlineStr">
        <is>
          <t>B</t>
        </is>
      </c>
      <c r="C27" s="10" t="inlineStr">
        <is>
          <t>Solo si en P12c eligió Otro: ¿a qué está asociada {barra}? (PROPUESTA: aún no está en el flujo)</t>
        </is>
      </c>
      <c r="D27" s="10" t="inlineStr">
        <is>
          <t>TEXT</t>
        </is>
      </c>
      <c r="E27" s="10" t="inlineStr"/>
    </row>
    <row r="28">
      <c r="A28" s="10" t="inlineStr">
        <is>
          <t>P12e</t>
        </is>
      </c>
      <c r="B28" s="10" t="inlineStr">
        <is>
          <t>B</t>
        </is>
      </c>
      <c r="C28" s="10" t="inlineStr">
        <is>
          <t>¿La caja comparte lugar con alguna área de preparación? (PROPUESTA: aún no está en el flujo)</t>
        </is>
      </c>
      <c r="D28" s="10" t="inlineStr">
        <is>
          <t>CHOICE</t>
        </is>
      </c>
      <c r="E28" s="10" t="inlineStr">
        <is>
          <t>NO = No, la caja está aparte · BAR = Barra · PARRILLA = Parrilla · COCINA = Cocina · OTRO = Otro (escribir)</t>
        </is>
      </c>
    </row>
    <row r="29">
      <c r="A29" s="10" t="inlineStr">
        <is>
          <t>P12b</t>
        </is>
      </c>
      <c r="B29" s="10" t="inlineStr">
        <is>
          <t>B</t>
        </is>
      </c>
      <c r="C29" s="10" t="inlineStr">
        <is>
          <t>¿En caja saldrán comandas?</t>
        </is>
      </c>
      <c r="D29" s="10" t="inlineStr">
        <is>
          <t>YES_NO</t>
        </is>
      </c>
      <c r="E29" s="10" t="inlineStr">
        <is>
          <t>SI · NO</t>
        </is>
      </c>
    </row>
    <row r="30">
      <c r="A30" s="10" t="inlineStr">
        <is>
          <t>P13</t>
        </is>
      </c>
      <c r="B30" s="10" t="inlineStr">
        <is>
          <t>C</t>
        </is>
      </c>
      <c r="C30" s="10" t="inlineStr">
        <is>
          <t>¿Quién es el proveedor de internet?</t>
        </is>
      </c>
      <c r="D30" s="10" t="inlineStr">
        <is>
          <t>CHOICE</t>
        </is>
      </c>
      <c r="E30" s="10" t="inlineStr">
        <is>
          <t>MOVISTAR = Movistar · CLARO = Claro · ENTEL = Entel · WIN = Win · OTRO = Otro</t>
        </is>
      </c>
    </row>
    <row r="31">
      <c r="A31" s="10" t="inlineStr">
        <is>
          <t>P13a</t>
        </is>
      </c>
      <c r="B31" s="10" t="inlineStr">
        <is>
          <t>C</t>
        </is>
      </c>
      <c r="C31" s="10" t="inlineStr">
        <is>
          <t>Solo si P13 = Otro: ¿cuál es el nombre del proveedor de internet? (PROPUESTA: aún no está en el flujo)</t>
        </is>
      </c>
      <c r="D31" s="10" t="inlineStr">
        <is>
          <t>TEXT</t>
        </is>
      </c>
      <c r="E31" s="10" t="inlineStr"/>
    </row>
    <row r="32">
      <c r="A32" s="10" t="inlineStr">
        <is>
          <t>P14</t>
        </is>
      </c>
      <c r="B32" s="10" t="inlineStr">
        <is>
          <t>C</t>
        </is>
      </c>
      <c r="C32" s="10" t="inlineStr">
        <is>
          <t>¿Qué tipo de conexión de internet tiene? (OPCIONES PROPUESTAS)</t>
        </is>
      </c>
      <c r="D32" s="10" t="inlineStr">
        <is>
          <t>CHOICE</t>
        </is>
      </c>
      <c r="E32" s="10" t="inlineStr">
        <is>
          <t>FIBRA = Fibra óptica · COAXIAL = Cable coaxial · NO_SE = No sé · NO_TIENE = No tiene · CHIP = Internet con chip</t>
        </is>
      </c>
    </row>
    <row r="33">
      <c r="A33" s="10" t="inlineStr">
        <is>
          <t>P14b</t>
        </is>
      </c>
      <c r="B33" s="10" t="inlineStr">
        <is>
          <t>C</t>
        </is>
      </c>
      <c r="C33" s="10" t="inlineStr">
        <is>
          <t>Solo si P14 = No tiene o No sé (sin internet), o si va Sunmi. Prueba con un celular: ¿qué chip tiene señal en el local? (PROPUESTA: aún no está en el flujo)</t>
        </is>
      </c>
      <c r="D33" s="10" t="inlineStr">
        <is>
          <t>CHOICE</t>
        </is>
      </c>
      <c r="E33" s="10" t="inlineStr"/>
    </row>
    <row r="34">
      <c r="A34" s="10" t="inlineStr">
        <is>
          <t>E1b</t>
        </is>
      </c>
      <c r="B34" s="10" t="inlineStr">
        <is>
          <t>C</t>
        </is>
      </c>
      <c r="C34" s="10" t="inlineStr">
        <is>
          <t>Captura del speedtest hecho desde el celular con el chip (PROPUESTA: aún no está en el flujo)</t>
        </is>
      </c>
      <c r="D34" s="10" t="inlineStr">
        <is>
          <t>EVIDENCE</t>
        </is>
      </c>
      <c r="E34" s="10" t="inlineStr"/>
    </row>
    <row r="35">
      <c r="A35" s="10" t="inlineStr">
        <is>
          <t>P14b</t>
        </is>
      </c>
      <c r="B35" s="10" t="inlineStr">
        <is>
          <t>C</t>
        </is>
      </c>
      <c r="C35" s="10" t="inlineStr">
        <is>
          <t>Pon el chip en un celular dentro del local. ¿Qué chip tiene señal?</t>
        </is>
      </c>
      <c r="D35" s="10" t="inlineStr">
        <is>
          <t>CHOICE</t>
        </is>
      </c>
      <c r="E35" s="10" t="inlineStr">
        <is>
          <t>ENTEL = Entel · CLARO = Claro · AMBOS = Ambos · NINGUNO = Ninguno</t>
        </is>
      </c>
    </row>
    <row r="36">
      <c r="A36" s="10" t="inlineStr">
        <is>
          <t>E1b</t>
        </is>
      </c>
      <c r="B36" s="10" t="inlineStr">
        <is>
          <t>C</t>
        </is>
      </c>
      <c r="C36" s="10" t="inlineStr">
        <is>
          <t>Sube la captura del speedtest hecho desde el celular con el chip.</t>
        </is>
      </c>
      <c r="D36" s="10" t="inlineStr">
        <is>
          <t>EVIDENCE</t>
        </is>
      </c>
      <c r="E36" s="10" t="inlineStr"/>
    </row>
    <row r="37">
      <c r="A37" s="10" t="inlineStr">
        <is>
          <t>P15</t>
        </is>
      </c>
      <c r="B37" s="10" t="inlineStr">
        <is>
          <t>C</t>
        </is>
      </c>
      <c r="C37" s="10" t="inlineStr">
        <is>
          <t>¿Cuál es la velocidad contratada? (Mbps)</t>
        </is>
      </c>
      <c r="D37" s="10" t="inlineStr">
        <is>
          <t>NUMBER</t>
        </is>
      </c>
      <c r="E37" s="10" t="inlineStr"/>
    </row>
    <row r="38">
      <c r="A38" s="10" t="inlineStr">
        <is>
          <t>P16</t>
        </is>
      </c>
      <c r="B38" s="10" t="inlineStr">
        <is>
          <t>C</t>
        </is>
      </c>
      <c r="C38" s="10" t="inlineStr">
        <is>
          <t>¿Hay una segunda línea de internet de respaldo?</t>
        </is>
      </c>
      <c r="D38" s="10" t="inlineStr">
        <is>
          <t>YES_NO</t>
        </is>
      </c>
      <c r="E38" s="10" t="inlineStr">
        <is>
          <t>SI · NO</t>
        </is>
      </c>
    </row>
    <row r="39">
      <c r="A39" s="10" t="inlineStr">
        <is>
          <t>P17</t>
        </is>
      </c>
      <c r="B39" s="10" t="inlineStr">
        <is>
          <t>C</t>
        </is>
      </c>
      <c r="C39" s="10" t="inlineStr">
        <is>
          <t>¿Hubo caídas de internet en el último mes?</t>
        </is>
      </c>
      <c r="D39" s="10" t="inlineStr">
        <is>
          <t>YES_NO</t>
        </is>
      </c>
      <c r="E39" s="10" t="inlineStr">
        <is>
          <t>SI · NO</t>
        </is>
      </c>
    </row>
    <row r="40">
      <c r="A40" s="10" t="inlineStr">
        <is>
          <t>P18</t>
        </is>
      </c>
      <c r="B40" s="10" t="inlineStr">
        <is>
          <t>C</t>
        </is>
      </c>
      <c r="C40" s="10" t="inlineStr">
        <is>
          <t>¿En qué área está el router?</t>
        </is>
      </c>
      <c r="D40" s="10" t="inlineStr">
        <is>
          <t>CHOICE</t>
        </is>
      </c>
      <c r="E40" s="10" t="inlineStr">
        <is>
          <t>Dinámico: $P11</t>
        </is>
      </c>
    </row>
    <row r="41">
      <c r="A41" s="10" t="inlineStr">
        <is>
          <t>P18a</t>
        </is>
      </c>
      <c r="B41" s="10" t="inlineStr">
        <is>
          <t>C</t>
        </is>
      </c>
      <c r="C41" s="10" t="inlineStr">
        <is>
          <t>Solo si la foto del router (E2) no se puede leer: ¿cuántos puertos LAN libres tiene el router? (PROPUESTA: aún no está en el flujo)</t>
        </is>
      </c>
      <c r="D41" s="10" t="inlineStr">
        <is>
          <t>NUMBER</t>
        </is>
      </c>
      <c r="E41" s="10" t="inlineStr"/>
    </row>
    <row r="42">
      <c r="A42" s="10" t="inlineStr">
        <is>
          <t>P19</t>
        </is>
      </c>
      <c r="B42" s="10" t="inlineStr">
        <is>
          <t>C</t>
        </is>
      </c>
      <c r="C42" s="10" t="inlineStr">
        <is>
          <t>Sube la captura del speedtest (hecho desde el local).</t>
        </is>
      </c>
      <c r="D42" s="10" t="inlineStr">
        <is>
          <t>EVIDENCE</t>
        </is>
      </c>
      <c r="E42" s="10" t="inlineStr"/>
    </row>
    <row r="43">
      <c r="A43" s="10" t="inlineStr">
        <is>
          <t>P19a</t>
        </is>
      </c>
      <c r="B43" s="10" t="inlineStr">
        <is>
          <t>C</t>
        </is>
      </c>
      <c r="C43" s="10" t="inlineStr">
        <is>
          <t>¿Desde qué equipo hiciste el speedtest? (PROPUESTA: aún no está en el flujo)</t>
        </is>
      </c>
      <c r="D43" s="10" t="inlineStr">
        <is>
          <t>CHOICE</t>
        </is>
      </c>
      <c r="E43" s="10" t="inlineStr">
        <is>
          <t>PC_CAJA_CABLE = PC de caja por cable al router · LAPTOP_CABLE = Laptop por cable al router · WIFI = Por WiFi</t>
        </is>
      </c>
    </row>
    <row r="44">
      <c r="A44" s="10" t="inlineStr">
        <is>
          <t>P20</t>
        </is>
      </c>
      <c r="B44" s="10" t="inlineStr">
        <is>
          <t>C</t>
        </is>
      </c>
      <c r="C44" s="10" t="inlineStr">
        <is>
          <t>Sube una foto del router donde se vea su ubicación.</t>
        </is>
      </c>
      <c r="D44" s="10" t="inlineStr">
        <is>
          <t>EVIDENCE</t>
        </is>
      </c>
      <c r="E44" s="10" t="inlineStr"/>
    </row>
    <row r="45">
      <c r="A45" s="10" t="inlineStr">
        <is>
          <t>P18a</t>
        </is>
      </c>
      <c r="B45" s="10" t="inlineStr">
        <is>
          <t>C</t>
        </is>
      </c>
      <c r="C45" s="10" t="inlineStr">
        <is>
          <t>No se pudieron leer los puertos en la foto del router. ¿Cuántos puertos LAN libres tiene?</t>
        </is>
      </c>
      <c r="D45" s="10" t="inlineStr">
        <is>
          <t>NUMBER</t>
        </is>
      </c>
      <c r="E45" s="10" t="inlineStr"/>
    </row>
    <row r="46">
      <c r="A46" s="10" t="inlineStr">
        <is>
          <t>P21</t>
        </is>
      </c>
      <c r="B46" s="10" t="inlineStr">
        <is>
          <t>C</t>
        </is>
      </c>
      <c r="C46" s="10" t="inlineStr">
        <is>
          <t>Sube una foto de la etiqueta del router o switch.</t>
        </is>
      </c>
      <c r="D46" s="10" t="inlineStr">
        <is>
          <t>EVIDENCE</t>
        </is>
      </c>
      <c r="E46" s="10" t="inlineStr"/>
    </row>
    <row r="47">
      <c r="A47" s="10" t="inlineStr">
        <is>
          <t>P22</t>
        </is>
      </c>
      <c r="B47" s="10" t="inlineStr">
        <is>
          <t>D</t>
        </is>
      </c>
      <c r="C47" s="10" t="inlineStr">
        <is>
          <t>Caja {i}: ¿hay una PC o laptop? (OPCIONES PROPUESTAS)</t>
        </is>
      </c>
      <c r="D47" s="10" t="inlineStr">
        <is>
          <t>CHOICE</t>
        </is>
      </c>
      <c r="E47" s="10" t="inlineStr">
        <is>
          <t>SI = Sí · NO = No · TABLET = Tablet · NO_SE = No sé · OTRO = Otro (indicar cuál es el equipo)</t>
        </is>
      </c>
    </row>
    <row r="48">
      <c r="A48" s="10" t="inlineStr">
        <is>
          <t>P22f</t>
        </is>
      </c>
      <c r="B48" s="10" t="inlineStr">
        <is>
          <t>D</t>
        </is>
      </c>
      <c r="C48" s="10" t="inlineStr">
        <is>
          <t>Caja {i}: ¿qué equipo hay en caja? (PROPUESTA: aún no está en el flujo)</t>
        </is>
      </c>
      <c r="D48" s="10" t="inlineStr">
        <is>
          <t>TEXT</t>
        </is>
      </c>
      <c r="E48" s="10" t="inlineStr"/>
    </row>
    <row r="49">
      <c r="A49" s="10" t="inlineStr">
        <is>
          <t>P22g</t>
        </is>
      </c>
      <c r="B49" s="10" t="inlineStr">
        <is>
          <t>D</t>
        </is>
      </c>
      <c r="C49" s="10" t="inlineStr">
        <is>
          <t>Caja {i}: ¿la PC o laptop se queda en el local de forma permanente? (PROPUESTA: aún no está en el flujo)</t>
        </is>
      </c>
      <c r="D49" s="10" t="inlineStr">
        <is>
          <t>YES_NO</t>
        </is>
      </c>
      <c r="E49" s="10" t="inlineStr">
        <is>
          <t>SI · NO</t>
        </is>
      </c>
    </row>
    <row r="50">
      <c r="A50" s="10" t="inlineStr">
        <is>
          <t>P22h</t>
        </is>
      </c>
      <c r="B50" s="10" t="inlineStr">
        <is>
          <t>D</t>
        </is>
      </c>
      <c r="C50" s="10" t="inlineStr">
        <is>
          <t>Solo Retail – Caja {i}: ¿qué periféricos tiene? (PROPUESTA: aún no está en el flujo)</t>
        </is>
      </c>
      <c r="D50" s="10" t="inlineStr">
        <is>
          <t>MULTI_SELECT</t>
        </is>
      </c>
      <c r="E50" s="10" t="inlineStr">
        <is>
          <t>BALANZA = Balanza · ESCANER = Escáner de códigos · GAVETA = Gaveta · IMPRESORA_ETIQUETAS = Impresora de etiquetas · POS_PAGO = POS de pago (Niubiz, Izipay…) · OTRO = Otro (escribir)</t>
        </is>
      </c>
    </row>
    <row r="51">
      <c r="A51" s="10" t="inlineStr">
        <is>
          <t>P22f</t>
        </is>
      </c>
      <c r="B51" s="10" t="inlineStr">
        <is>
          <t>D</t>
        </is>
      </c>
      <c r="C51" s="10" t="inlineStr">
        <is>
          <t>Caja {i}: ¿qué equipo hay en caja?</t>
        </is>
      </c>
      <c r="D51" s="10" t="inlineStr">
        <is>
          <t>TEXT</t>
        </is>
      </c>
      <c r="E51" s="10" t="inlineStr"/>
    </row>
    <row r="52">
      <c r="A52" s="10" t="inlineStr">
        <is>
          <t>P22a</t>
        </is>
      </c>
      <c r="B52" s="10" t="inlineStr">
        <is>
          <t>D</t>
        </is>
      </c>
      <c r="C52" s="10" t="inlineStr">
        <is>
          <t>¿El cliente ya cuenta con un Raspberry?</t>
        </is>
      </c>
      <c r="D52" s="10" t="inlineStr">
        <is>
          <t>YES_NO</t>
        </is>
      </c>
      <c r="E52" s="10" t="inlineStr">
        <is>
          <t>SI · NO</t>
        </is>
      </c>
    </row>
    <row r="53">
      <c r="A53" s="10" t="inlineStr">
        <is>
          <t>P22b</t>
        </is>
      </c>
      <c r="B53" s="10" t="inlineStr">
        <is>
          <t>D</t>
        </is>
      </c>
      <c r="C53" s="10" t="inlineStr">
        <is>
          <t>¿Qué adquirirá el cliente para el sistema de impresiones?</t>
        </is>
      </c>
      <c r="D53" s="10" t="inlineStr">
        <is>
          <t>CHOICE</t>
        </is>
      </c>
      <c r="E53" s="10" t="inlineStr">
        <is>
          <t>RASPBERRY = Raspberry · LAPTOP = Laptop · PC = PC</t>
        </is>
      </c>
    </row>
    <row r="54">
      <c r="A54" s="10" t="inlineStr">
        <is>
          <t>P22c</t>
        </is>
      </c>
      <c r="B54" s="10" t="inlineStr">
        <is>
          <t>D</t>
        </is>
      </c>
      <c r="C54" s="10" t="inlineStr">
        <is>
          <t>¿Cómo se conecta el Raspberry a la red?</t>
        </is>
      </c>
      <c r="D54" s="10" t="inlineStr">
        <is>
          <t>CHOICE</t>
        </is>
      </c>
      <c r="E54" s="10" t="inlineStr">
        <is>
          <t>CABLE_RED = Cable de red · WIFI = WiFi</t>
        </is>
      </c>
    </row>
    <row r="55">
      <c r="A55" s="10" t="inlineStr">
        <is>
          <t>P23</t>
        </is>
      </c>
      <c r="B55" s="10" t="inlineStr">
        <is>
          <t>D</t>
        </is>
      </c>
      <c r="C55" s="10" t="inlineStr">
        <is>
          <t>Caja {i}: ¿la computadora va por cable o por WiFi?</t>
        </is>
      </c>
      <c r="D55" s="10" t="inlineStr">
        <is>
          <t>CHOICE</t>
        </is>
      </c>
      <c r="E55" s="10" t="inlineStr">
        <is>
          <t>CABLE_RED = Cable de red · WIFI = WiFi</t>
        </is>
      </c>
    </row>
    <row r="56">
      <c r="A56" s="10" t="inlineStr">
        <is>
          <t>P24</t>
        </is>
      </c>
      <c r="B56" s="10" t="inlineStr">
        <is>
          <t>D</t>
        </is>
      </c>
      <c r="C56" s="10" t="inlineStr">
        <is>
          <t>Caja {i}: sube la captura de ipconfig.</t>
        </is>
      </c>
      <c r="D56" s="10" t="inlineStr">
        <is>
          <t>EVIDENCE</t>
        </is>
      </c>
      <c r="E56" s="10" t="inlineStr"/>
    </row>
    <row r="57">
      <c r="A57" s="10" t="inlineStr">
        <is>
          <t>P25</t>
        </is>
      </c>
      <c r="B57" s="10" t="inlineStr">
        <is>
          <t>E</t>
        </is>
      </c>
      <c r="C57" s="10" t="inlineStr">
        <is>
          <t>¿Qué áreas necesitan imprimir comandas o tickets?</t>
        </is>
      </c>
      <c r="D57" s="10" t="inlineStr">
        <is>
          <t>MULTI_SELECT</t>
        </is>
      </c>
      <c r="E57" s="10" t="inlineStr">
        <is>
          <t>Dinámico: $P11</t>
        </is>
      </c>
    </row>
    <row r="58">
      <c r="A58" s="10" t="inlineStr">
        <is>
          <t>P26</t>
        </is>
      </c>
      <c r="B58" s="10" t="inlineStr">
        <is>
          <t>E</t>
        </is>
      </c>
      <c r="C58" s="10" t="inlineStr">
        <is>
          <t>¿Cuántas impresoras hay actualmente?</t>
        </is>
      </c>
      <c r="D58" s="10" t="inlineStr">
        <is>
          <t>NUMBER</t>
        </is>
      </c>
      <c r="E58" s="10" t="inlineStr"/>
    </row>
    <row r="59">
      <c r="A59" s="10" t="inlineStr">
        <is>
          <t>P27</t>
        </is>
      </c>
      <c r="B59" s="10" t="inlineStr">
        <is>
          <t>E</t>
        </is>
      </c>
      <c r="C59" s="10" t="inlineStr">
        <is>
          <t>Impresora {i}: ¿qué áreas imprimen en esta impresora?</t>
        </is>
      </c>
      <c r="D59" s="10" t="inlineStr">
        <is>
          <t>MULTI_SELECT</t>
        </is>
      </c>
      <c r="E59" s="10" t="inlineStr">
        <is>
          <t>Dinámico: $derived.areasSinImpresora</t>
        </is>
      </c>
    </row>
    <row r="60">
      <c r="A60" s="10" t="inlineStr">
        <is>
          <t>P28</t>
        </is>
      </c>
      <c r="B60" s="10" t="inlineStr">
        <is>
          <t>E</t>
        </is>
      </c>
      <c r="C60" s="10" t="inlineStr">
        <is>
          <t>Impresora {i}: ¿en qué área está físicamente?</t>
        </is>
      </c>
      <c r="D60" s="10" t="inlineStr">
        <is>
          <t>CHOICE</t>
        </is>
      </c>
      <c r="E60" s="10" t="inlineStr">
        <is>
          <t>Dinámico: $P27</t>
        </is>
      </c>
    </row>
    <row r="61">
      <c r="A61" s="10" t="inlineStr">
        <is>
          <t>P28a</t>
        </is>
      </c>
      <c r="B61" s="10" t="inlineStr">
        <is>
          <t>E</t>
        </is>
      </c>
      <c r="C61" s="10" t="inlineStr">
        <is>
          <t>Solo si P28 = Otra: ¿en qué área o ubicación está la impresora? (PROPUESTA: aún no está en el flujo)</t>
        </is>
      </c>
      <c r="D61" s="10" t="inlineStr">
        <is>
          <t>TEXT</t>
        </is>
      </c>
      <c r="E61" s="10" t="inlineStr"/>
    </row>
    <row r="62">
      <c r="A62" s="10" t="inlineStr">
        <is>
          <t>P29</t>
        </is>
      </c>
      <c r="B62" s="10" t="inlineStr">
        <is>
          <t>E</t>
        </is>
      </c>
      <c r="C62" s="10" t="inlineStr">
        <is>
          <t>Impresora {i}: ¿cuál es la marca?</t>
        </is>
      </c>
      <c r="D62" s="10" t="inlineStr">
        <is>
          <t>CHOICE</t>
        </is>
      </c>
      <c r="E62" s="10" t="inlineStr">
        <is>
          <t>EPSON = Epson · BIXOLON = Bixolon · STAR = Star · OTRO = Otro</t>
        </is>
      </c>
    </row>
    <row r="63">
      <c r="A63" s="10" t="inlineStr">
        <is>
          <t>P29a</t>
        </is>
      </c>
      <c r="B63" s="10" t="inlineStr">
        <is>
          <t>E</t>
        </is>
      </c>
      <c r="C63" s="10" t="inlineStr">
        <is>
          <t>Solo si P29 = Otro: ¿cuál es la marca de la impresora? (PROPUESTA: aún no está en el flujo)</t>
        </is>
      </c>
      <c r="D63" s="10" t="inlineStr">
        <is>
          <t>TEXT</t>
        </is>
      </c>
      <c r="E63" s="10" t="inlineStr"/>
    </row>
    <row r="64">
      <c r="A64" s="10" t="inlineStr">
        <is>
          <t>P30</t>
        </is>
      </c>
      <c r="B64" s="10" t="inlineStr">
        <is>
          <t>E</t>
        </is>
      </c>
      <c r="C64" s="10" t="inlineStr">
        <is>
          <t>Impresora {i}: ¿cómo se conecta?</t>
        </is>
      </c>
      <c r="D64" s="10" t="inlineStr">
        <is>
          <t>CHOICE</t>
        </is>
      </c>
      <c r="E64" s="10" t="inlineStr">
        <is>
          <t>CABLE_RED = Cable de red · USB = USB · WIFI = WiFi · BLUETOOTH = Bluetooth</t>
        </is>
      </c>
    </row>
    <row r="65">
      <c r="A65" s="10" t="inlineStr">
        <is>
          <t>P31</t>
        </is>
      </c>
      <c r="B65" s="10" t="inlineStr">
        <is>
          <t>E</t>
        </is>
      </c>
      <c r="C65" s="10" t="inlineStr">
        <is>
          <t>Impresora {i}: sube el ticket de autotest o la etiqueta.</t>
        </is>
      </c>
      <c r="D65" s="10" t="inlineStr">
        <is>
          <t>EVIDENCE</t>
        </is>
      </c>
      <c r="E65" s="10" t="inlineStr"/>
    </row>
    <row r="66">
      <c r="A66" s="10" t="inlineStr">
        <is>
          <t>P32</t>
        </is>
      </c>
      <c r="B66" s="10" t="inlineStr">
        <is>
          <t>E</t>
        </is>
      </c>
      <c r="C66" s="10" t="inlineStr">
        <is>
          <t>{item.label}: ¿cómo se resolverá la impresión?</t>
        </is>
      </c>
      <c r="D66" s="10" t="inlineStr">
        <is>
          <t>CHOICE</t>
        </is>
      </c>
      <c r="E66" s="10" t="inlineStr">
        <is>
          <t>COMPARTIR = Compartirá una impresora existente · NUEVA = Se instalará una impresora nueva</t>
        </is>
      </c>
    </row>
    <row r="67">
      <c r="A67" s="10" t="inlineStr">
        <is>
          <t>P32a</t>
        </is>
      </c>
      <c r="B67" s="10" t="inlineStr">
        <is>
          <t>E</t>
        </is>
      </c>
      <c r="C67" s="10" t="inlineStr">
        <is>
          <t>{item.label}: ¿con qué impresora compartirá?</t>
        </is>
      </c>
      <c r="D67" s="10" t="inlineStr">
        <is>
          <t>CHOICE</t>
        </is>
      </c>
      <c r="E67" s="10" t="inlineStr">
        <is>
          <t>Dinámico: $registry.printers</t>
        </is>
      </c>
    </row>
    <row r="68">
      <c r="A68" s="10" t="inlineStr">
        <is>
          <t>P32b</t>
        </is>
      </c>
      <c r="B68" s="10" t="inlineStr">
        <is>
          <t>E</t>
        </is>
      </c>
      <c r="C68" s="10" t="inlineStr">
        <is>
          <t>{item.label}: ¿en qué área se colocará la impresora nueva?</t>
        </is>
      </c>
      <c r="D68" s="10" t="inlineStr">
        <is>
          <t>CHOICE</t>
        </is>
      </c>
      <c r="E68" s="10" t="inlineStr">
        <is>
          <t>Dinámico: $P11</t>
        </is>
      </c>
    </row>
    <row r="69">
      <c r="A69" s="10" t="inlineStr">
        <is>
          <t>P32c</t>
        </is>
      </c>
      <c r="B69" s="10" t="inlineStr">
        <is>
          <t>E</t>
        </is>
      </c>
      <c r="C69" s="10" t="inlineStr">
        <is>
          <t>¿Cómo se conectará la impresora nueva?</t>
        </is>
      </c>
      <c r="D69" s="10" t="inlineStr">
        <is>
          <t>CHOICE</t>
        </is>
      </c>
      <c r="E69" s="10" t="inlineStr">
        <is>
          <t>CABLE_RED = Cable de red · USB = USB · WIFI = WiFi</t>
        </is>
      </c>
    </row>
    <row r="70">
      <c r="A70" s="10" t="inlineStr">
        <is>
          <t>P33</t>
        </is>
      </c>
      <c r="B70" s="10" t="inlineStr">
        <is>
          <t>F</t>
        </is>
      </c>
      <c r="C70" s="10" t="inlineStr">
        <is>
          <t>¿Hay tomas de energía cerca de los equipos de red?</t>
        </is>
      </c>
      <c r="D70" s="10" t="inlineStr">
        <is>
          <t>YES_NO</t>
        </is>
      </c>
      <c r="E70" s="10" t="inlineStr">
        <is>
          <t>SI · NO</t>
        </is>
      </c>
    </row>
    <row r="71">
      <c r="A71" s="10" t="inlineStr">
        <is>
          <t>P34</t>
        </is>
      </c>
      <c r="B71" s="10" t="inlineStr">
        <is>
          <t>F</t>
        </is>
      </c>
      <c r="C71" s="10" t="inlineStr">
        <is>
          <t>¿Los equipos comparten una misma toma?</t>
        </is>
      </c>
      <c r="D71" s="10" t="inlineStr">
        <is>
          <t>YES_NO</t>
        </is>
      </c>
      <c r="E71" s="10" t="inlineStr">
        <is>
          <t>SI · NO</t>
        </is>
      </c>
    </row>
    <row r="72">
      <c r="A72" s="10" t="inlineStr">
        <is>
          <t>P35</t>
        </is>
      </c>
      <c r="B72" s="10" t="inlineStr">
        <is>
          <t>F</t>
        </is>
      </c>
      <c r="C72" s="10" t="inlineStr">
        <is>
          <t>¿Se cuenta con energía de respaldo, como un UPS?</t>
        </is>
      </c>
      <c r="D72" s="10" t="inlineStr">
        <is>
          <t>YES_NO</t>
        </is>
      </c>
      <c r="E72" s="10" t="inlineStr">
        <is>
          <t>SI · NO</t>
        </is>
      </c>
    </row>
    <row r="73">
      <c r="A73" s="10" t="inlineStr">
        <is>
          <t>P36</t>
        </is>
      </c>
      <c r="B73" s="10" t="inlineStr">
        <is>
          <t>F</t>
        </is>
      </c>
      <c r="C73" s="10" t="inlineStr">
        <is>
          <t>¿Hay extensiones donde va conectado algún equipo de red o impresora?</t>
        </is>
      </c>
      <c r="D73" s="10" t="inlineStr">
        <is>
          <t>YES_NO</t>
        </is>
      </c>
      <c r="E73" s="10" t="inlineStr">
        <is>
          <t>SI · NO</t>
        </is>
      </c>
    </row>
    <row r="74">
      <c r="A74" s="10" t="inlineStr">
        <is>
          <t>P36a</t>
        </is>
      </c>
      <c r="B74" s="10" t="inlineStr">
        <is>
          <t>F</t>
        </is>
      </c>
      <c r="C74" s="10" t="inlineStr">
        <is>
          <t>¿Qué equipos están conectados a la extensión?</t>
        </is>
      </c>
      <c r="D74" s="10" t="inlineStr">
        <is>
          <t>MULTI_SELECT</t>
        </is>
      </c>
      <c r="E74" s="10" t="inlineStr">
        <is>
          <t>ROUTER = Router · SWITCH = Switch · ACCESS_POINT = Access point · IMPRESORA = Impresora · PC = PC · RASPBERRY = Raspberry</t>
        </is>
      </c>
    </row>
    <row r="75">
      <c r="A75" s="10" t="inlineStr">
        <is>
          <t>P37</t>
        </is>
      </c>
      <c r="B75" s="10" t="inlineStr">
        <is>
          <t>G</t>
        </is>
      </c>
      <c r="C75" s="10" t="inlineStr">
        <is>
          <t>¿Cuántos puntos de red hay?</t>
        </is>
      </c>
      <c r="D75" s="10" t="inlineStr">
        <is>
          <t>NUMBER</t>
        </is>
      </c>
      <c r="E75" s="10" t="inlineStr"/>
    </row>
    <row r="76">
      <c r="A76" s="10" t="inlineStr">
        <is>
          <t>P38</t>
        </is>
      </c>
      <c r="B76" s="10" t="inlineStr">
        <is>
          <t>G</t>
        </is>
      </c>
      <c r="C76" s="10" t="inlineStr">
        <is>
          <t>¿Los puntos de red llegan a todas las áreas que se necesitan?</t>
        </is>
      </c>
      <c r="D76" s="10" t="inlineStr">
        <is>
          <t>YES_NO</t>
        </is>
      </c>
      <c r="E76" s="10" t="inlineStr">
        <is>
          <t>SI · NO</t>
        </is>
      </c>
    </row>
    <row r="77">
      <c r="A77" s="10" t="inlineStr">
        <is>
          <t>P38a</t>
        </is>
      </c>
      <c r="B77" s="10" t="inlineStr">
        <is>
          <t>G</t>
        </is>
      </c>
      <c r="C77" s="10" t="inlineStr">
        <is>
          <t>¿Qué áreas no tienen punto de red?</t>
        </is>
      </c>
      <c r="D77" s="10" t="inlineStr">
        <is>
          <t>MULTI_SELECT</t>
        </is>
      </c>
      <c r="E77" s="10" t="inlineStr">
        <is>
          <t>Dinámico: $P11</t>
        </is>
      </c>
    </row>
    <row r="78">
      <c r="A78" s="10" t="inlineStr">
        <is>
          <t>P39</t>
        </is>
      </c>
      <c r="B78" s="10" t="inlineStr">
        <is>
          <t>G</t>
        </is>
      </c>
      <c r="C78" s="10" t="inlineStr">
        <is>
          <t>¿Qué cable de red usan?</t>
        </is>
      </c>
      <c r="D78" s="10" t="inlineStr">
        <is>
          <t>CHOICE</t>
        </is>
      </c>
      <c r="E78" s="10" t="inlineStr">
        <is>
          <t>CAT5E_INT = Interior Cat5e · CAT6_INT = Interior Cat6 · EXTERIOR = Cable exterior · NO_SE = No sé</t>
        </is>
      </c>
    </row>
    <row r="79">
      <c r="A79" s="10" t="inlineStr">
        <is>
          <t>P39a</t>
        </is>
      </c>
      <c r="B79" s="10" t="inlineStr">
        <is>
          <t>G</t>
        </is>
      </c>
      <c r="C79" s="10" t="inlineStr">
        <is>
          <t>¿Cómo pasa el cable de red entre pisos?</t>
        </is>
      </c>
      <c r="D79" s="10" t="inlineStr">
        <is>
          <t>CHOICE</t>
        </is>
      </c>
      <c r="E79" s="10" t="inlineStr">
        <is>
          <t>DUCTO = Por ducto o canaleta · EXPUESTO = Expuesto por pared o escalera · WIFI = No pasa, el otro piso va por WiFi · NO_SE = No sé</t>
        </is>
      </c>
    </row>
    <row r="80">
      <c r="A80" s="10" t="inlineStr">
        <is>
          <t>P40</t>
        </is>
      </c>
      <c r="B80" s="10" t="inlineStr">
        <is>
          <t>G</t>
        </is>
      </c>
      <c r="C80" s="10" t="inlineStr">
        <is>
          <t>¿Cómo está el gabinete?</t>
        </is>
      </c>
      <c r="D80" s="10" t="inlineStr">
        <is>
          <t>CHOICE</t>
        </is>
      </c>
      <c r="E80" s="10" t="inlineStr">
        <is>
          <t>NO_HAY = No hay · ORDENADO = Ordenado · ORDENADO_ROTULADO = Ordenado y rotulado · DESORDENADO = Desordenado o con cables</t>
        </is>
      </c>
    </row>
    <row r="81">
      <c r="A81" s="10" t="inlineStr">
        <is>
          <t>P41</t>
        </is>
      </c>
      <c r="B81" s="10" t="inlineStr">
        <is>
          <t>G</t>
        </is>
      </c>
      <c r="C81" s="10" t="inlineStr">
        <is>
          <t>¿Algún equipo está expuesto a calor o grasa?</t>
        </is>
      </c>
      <c r="D81" s="10" t="inlineStr">
        <is>
          <t>YES_NO</t>
        </is>
      </c>
      <c r="E81" s="10" t="inlineStr">
        <is>
          <t>SI · NO</t>
        </is>
      </c>
    </row>
    <row r="82">
      <c r="A82" s="10" t="inlineStr">
        <is>
          <t>P42</t>
        </is>
      </c>
      <c r="B82" s="10" t="inlineStr">
        <is>
          <t>G</t>
        </is>
      </c>
      <c r="C82" s="10" t="inlineStr">
        <is>
          <t>Sube fotos de los puntos de red y las tomas.</t>
        </is>
      </c>
      <c r="D82" s="10" t="inlineStr">
        <is>
          <t>EVIDENCE</t>
        </is>
      </c>
      <c r="E82" s="10" t="inlineStr"/>
    </row>
    <row r="83">
      <c r="A83" s="10" t="inlineStr">
        <is>
          <t>P43</t>
        </is>
      </c>
      <c r="B83" s="10" t="inlineStr">
        <is>
          <t>G</t>
        </is>
      </c>
      <c r="C83" s="10" t="inlineStr">
        <is>
          <t>¿Dónde está la extensión de energía?</t>
        </is>
      </c>
      <c r="D83" s="10" t="inlineStr">
        <is>
          <t>CHOICE</t>
        </is>
      </c>
      <c r="E83" s="10" t="inlineStr">
        <is>
          <t>Dinámico: $P11</t>
        </is>
      </c>
    </row>
    <row r="84">
      <c r="A84" s="10" t="inlineStr">
        <is>
          <t>P44</t>
        </is>
      </c>
      <c r="B84" s="10" t="inlineStr">
        <is>
          <t>G</t>
        </is>
      </c>
      <c r="C84" s="10" t="inlineStr">
        <is>
          <t>Sube una foto de la extensión de energía.</t>
        </is>
      </c>
      <c r="D84" s="10" t="inlineStr">
        <is>
          <t>EVIDENCE</t>
        </is>
      </c>
      <c r="E84" s="10" t="inlineStr"/>
    </row>
    <row r="85">
      <c r="A85" s="10" t="inlineStr">
        <is>
          <t>P45</t>
        </is>
      </c>
      <c r="B85" s="10" t="inlineStr">
        <is>
          <t>H</t>
        </is>
      </c>
      <c r="C85" s="10" t="inlineStr">
        <is>
          <t>¿Hay access points o repetidores?</t>
        </is>
      </c>
      <c r="D85" s="10" t="inlineStr">
        <is>
          <t>YES_NO</t>
        </is>
      </c>
      <c r="E85" s="10" t="inlineStr">
        <is>
          <t>SI · NO</t>
        </is>
      </c>
    </row>
    <row r="86">
      <c r="A86" s="10" t="inlineStr">
        <is>
          <t>P46</t>
        </is>
      </c>
      <c r="B86" s="10" t="inlineStr">
        <is>
          <t>H</t>
        </is>
      </c>
      <c r="C86" s="10" t="inlineStr">
        <is>
          <t>¿Hay zonas sin señal WiFi?</t>
        </is>
      </c>
      <c r="D86" s="10" t="inlineStr">
        <is>
          <t>MULTI_SELECT</t>
        </is>
      </c>
      <c r="E86" s="10" t="inlineStr">
        <is>
          <t>Dinámico: $P11</t>
        </is>
      </c>
    </row>
    <row r="87">
      <c r="A87" s="10" t="inlineStr">
        <is>
          <t>P46a</t>
        </is>
      </c>
      <c r="B87" s="10" t="inlineStr">
        <is>
          <t>H</t>
        </is>
      </c>
      <c r="C87" s="10" t="inlineStr">
        <is>
          <t>Para las zonas sin señal, ¿qué se instalará? (PROPUESTA: aún no está en el flujo)</t>
        </is>
      </c>
      <c r="D87" s="10" t="inlineStr">
        <is>
          <t>CHOICE</t>
        </is>
      </c>
      <c r="E87" s="10" t="inlineStr"/>
    </row>
    <row r="88">
      <c r="A88" s="10" t="inlineStr">
        <is>
          <t>P46a</t>
        </is>
      </c>
      <c r="B88" s="10" t="inlineStr">
        <is>
          <t>H</t>
        </is>
      </c>
      <c r="C88" s="10" t="inlineStr">
        <is>
          <t>Sugerencia: {derived.sugerenciaWifi}. ¿Qué se instalará en las zonas sin señal?</t>
        </is>
      </c>
      <c r="D88" s="10" t="inlineStr">
        <is>
          <t>CHOICE</t>
        </is>
      </c>
      <c r="E88" s="10" t="inlineStr">
        <is>
          <t>REPETIDOR = Repetidor · ACCESS_POINT = Access point · AMBOS = Ambos</t>
        </is>
      </c>
    </row>
    <row r="89">
      <c r="A89" s="10" t="inlineStr">
        <is>
          <t>P47</t>
        </is>
      </c>
      <c r="B89" s="10" t="inlineStr">
        <is>
          <t>H</t>
        </is>
      </c>
      <c r="C89" s="10" t="inlineStr">
        <is>
          <t>¿Hay cámaras de seguridad conectadas a la red?</t>
        </is>
      </c>
      <c r="D89" s="10" t="inlineStr">
        <is>
          <t>YES_NO</t>
        </is>
      </c>
      <c r="E89" s="10" t="inlineStr">
        <is>
          <t>SI · NO</t>
        </is>
      </c>
    </row>
    <row r="90">
      <c r="A90" s="10" t="inlineStr">
        <is>
          <t>P48</t>
        </is>
      </c>
      <c r="B90" s="10" t="inlineStr">
        <is>
          <t>H</t>
        </is>
      </c>
      <c r="C90" s="10" t="inlineStr">
        <is>
          <t>Sube la captura del escáner de IP.</t>
        </is>
      </c>
      <c r="D90" s="10" t="inlineStr">
        <is>
          <t>EVIDENCE</t>
        </is>
      </c>
      <c r="E90" s="10" t="inlineStr"/>
    </row>
    <row r="91">
      <c r="A91" s="10" t="inlineStr">
        <is>
          <t>P49</t>
        </is>
      </c>
      <c r="B91" s="10" t="inlineStr">
        <is>
          <t>I</t>
        </is>
      </c>
      <c r="C91" s="10" t="inlineStr">
        <is>
          <t>Sube fotos generales del local.</t>
        </is>
      </c>
      <c r="D91" s="10" t="inlineStr">
        <is>
          <t>EVIDENCE</t>
        </is>
      </c>
      <c r="E91" s="10" t="inlineStr"/>
    </row>
    <row r="92">
      <c r="A92" s="10" t="inlineStr">
        <is>
          <t>E9a</t>
        </is>
      </c>
      <c r="B92" s="10" t="inlineStr">
        <is>
          <t>I</t>
        </is>
      </c>
      <c r="C92" s="10" t="inlineStr">
        <is>
          <t>Obligatoria: foto del frontis del local. (PROPUESTA: aún no está en el flujo)</t>
        </is>
      </c>
      <c r="D92" s="10" t="inlineStr">
        <is>
          <t>EVIDENCE</t>
        </is>
      </c>
      <c r="E92" s="10" t="inlineStr"/>
    </row>
    <row r="93">
      <c r="A93" s="10" t="inlineStr">
        <is>
          <t>E9b</t>
        </is>
      </c>
      <c r="B93" s="10" t="inlineStr">
        <is>
          <t>I</t>
        </is>
      </c>
      <c r="C93" s="10" t="inlineStr">
        <is>
          <t>Obligatoria, una por cada lugar de preparación, zona de atención y caja indicados en el chat: foto de {área}. (PROPUESTA: aún no está en el flujo)</t>
        </is>
      </c>
      <c r="D93" s="10" t="inlineStr">
        <is>
          <t>EVIDENCE</t>
        </is>
      </c>
      <c r="E93" s="10" t="inlineStr"/>
    </row>
    <row r="94">
      <c r="A94" s="10" t="inlineStr">
        <is>
          <t>P49a</t>
        </is>
      </c>
      <c r="B94" s="10" t="inlineStr">
        <is>
          <t>I</t>
        </is>
      </c>
      <c r="C94" s="10" t="inlineStr">
        <is>
          <t>Anexos – video del local (apartado fijo, no es pregunta): graba parte del local y dónde están los equipos de red (router, impresoras) y dónde se colocaría el sistema de impresiones. Pega aquí el enlace (Drive, YouTube…); puedes agregar varios. Si no hay enlace, puedes continuar. (PROPUESTA: aún no está en el flujo)</t>
        </is>
      </c>
      <c r="D94" s="10" t="inlineStr">
        <is>
          <t>URL_LIST</t>
        </is>
      </c>
      <c r="E94" s="10" t="inlineStr"/>
    </row>
    <row r="95">
      <c r="A95" s="10" t="inlineStr">
        <is>
          <t>P50</t>
        </is>
      </c>
      <c r="B95" s="10" t="inlineStr">
        <is>
          <t>I</t>
        </is>
      </c>
      <c r="C95" s="10" t="inlineStr">
        <is>
          <t>¿Considerar agendar una segunda visita?</t>
        </is>
      </c>
      <c r="D95" s="10" t="inlineStr">
        <is>
          <t>YES_NO</t>
        </is>
      </c>
      <c r="E95" s="10" t="inlineStr">
        <is>
          <t>SI · NO</t>
        </is>
      </c>
    </row>
    <row r="96">
      <c r="A96" s="10" t="inlineStr">
        <is>
          <t>P50b</t>
        </is>
      </c>
      <c r="B96" s="10" t="inlineStr">
        <is>
          <t>I</t>
        </is>
      </c>
      <c r="C96" s="10" t="inlineStr">
        <is>
          <t>¿Hay una fecha de inicio acordada con el cliente? (opcional) (PROPUESTA: aún no está en el flujo)</t>
        </is>
      </c>
      <c r="D96" s="10" t="inlineStr">
        <is>
          <t>DATE</t>
        </is>
      </c>
      <c r="E96" s="10" t="inlineStr"/>
    </row>
    <row r="97">
      <c r="A97" s="10" t="inlineStr">
        <is>
          <t>P50a</t>
        </is>
      </c>
      <c r="B97" s="10" t="inlineStr">
        <is>
          <t>I</t>
        </is>
      </c>
      <c r="C97" s="10" t="inlineStr">
        <is>
          <t>¿Por qué se debe agendar una segunda visita?</t>
        </is>
      </c>
      <c r="D97" s="10" t="inlineStr">
        <is>
          <t>TEXT</t>
        </is>
      </c>
      <c r="E97" s="10" t="inlineStr"/>
    </row>
    <row r="98">
      <c r="A98" s="10" t="inlineStr">
        <is>
          <t>P51</t>
        </is>
      </c>
      <c r="B98" s="10" t="inlineStr">
        <is>
          <t>I</t>
        </is>
      </c>
      <c r="C98" s="10" t="inlineStr">
        <is>
          <t>¿Quiénes asistieron a la visita?</t>
        </is>
      </c>
      <c r="D98" s="10" t="inlineStr">
        <is>
          <t>TEXT</t>
        </is>
      </c>
      <c r="E98" s="10" t="inlineStr"/>
    </row>
    <row r="99">
      <c r="A99" s="10" t="inlineStr">
        <is>
          <t>P52</t>
        </is>
      </c>
      <c r="B99" s="10" t="inlineStr">
        <is>
          <t>I</t>
        </is>
      </c>
      <c r="C99" s="10" t="inlineStr">
        <is>
          <t>Acuerdos y siguientes acciones</t>
        </is>
      </c>
      <c r="D99" s="10" t="inlineStr">
        <is>
          <t>TEXT</t>
        </is>
      </c>
      <c r="E99" s="10" t="inlineStr"/>
    </row>
    <row r="100">
      <c r="A100" s="10" t="inlineStr">
        <is>
          <t>P52a</t>
        </is>
      </c>
      <c r="B100" s="10" t="inlineStr">
        <is>
          <t>I</t>
        </is>
      </c>
      <c r="C100" s="10" t="inlineStr">
        <is>
          <t>Estos son los pasos a seguir. ¿Quieres quitar, editar o agregar alguno? (PROPUESTA: aún no está en el flujo)</t>
        </is>
      </c>
      <c r="D100" s="10" t="inlineStr">
        <is>
          <t>EDITABLE_LIST</t>
        </is>
      </c>
      <c r="E100" s="10" t="inlineStr"/>
    </row>
    <row r="101">
      <c r="A101" s="10" t="inlineStr">
        <is>
          <t>P53</t>
        </is>
      </c>
      <c r="B101" s="10" t="inlineStr">
        <is>
          <t>I</t>
        </is>
      </c>
      <c r="C101" s="10" t="inlineStr">
        <is>
          <t>Observaciones adicionales</t>
        </is>
      </c>
      <c r="D101" s="10" t="inlineStr">
        <is>
          <t>TEXT</t>
        </is>
      </c>
      <c r="E101" s="10" t="inlineStr"/>
    </row>
    <row r="102">
      <c r="A102" s="10" t="inlineStr">
        <is>
          <t>U1</t>
        </is>
      </c>
      <c r="B102" s="10" t="inlineStr">
        <is>
          <t>U</t>
        </is>
      </c>
      <c r="C102" s="10" t="inlineStr">
        <is>
          <t>{ctx.equipo}: ¿hay un punto de red cerca de donde irá el equipo?</t>
        </is>
      </c>
      <c r="D102" s="10" t="inlineStr">
        <is>
          <t>YES_NO</t>
        </is>
      </c>
      <c r="E102" s="10" t="inlineStr">
        <is>
          <t>SI · NO</t>
        </is>
      </c>
    </row>
    <row r="103">
      <c r="A103" s="10" t="inlineStr">
        <is>
          <t>U2</t>
        </is>
      </c>
      <c r="B103" s="10" t="inlineStr">
        <is>
          <t>U</t>
        </is>
      </c>
      <c r="C103" s="10" t="inlineStr">
        <is>
          <t>Sube una foto del punto de red cercano ({ctx.area.label}).</t>
        </is>
      </c>
      <c r="D103" s="10" t="inlineStr">
        <is>
          <t>EVIDENCE</t>
        </is>
      </c>
      <c r="E103" s="10" t="inlineStr"/>
    </row>
    <row r="104">
      <c r="A104" s="10" t="inlineStr">
        <is>
          <t>U3</t>
        </is>
      </c>
      <c r="B104" s="10" t="inlineStr">
        <is>
          <t>U</t>
        </is>
      </c>
      <c r="C104" s="10" t="inlineStr">
        <is>
          <t>{ctx.equipo}: ¿dónde se instalará el punto de red en {ctx.area.label}, según el cliente?</t>
        </is>
      </c>
      <c r="D104" s="10" t="inlineStr">
        <is>
          <t>TEXT</t>
        </is>
      </c>
      <c r="E104" s="10" t="inlineStr"/>
    </row>
    <row r="105">
      <c r="A105" s="10" t="inlineStr">
        <is>
          <t>U4</t>
        </is>
      </c>
      <c r="B105" s="10" t="inlineStr">
        <is>
          <t>U</t>
        </is>
      </c>
      <c r="C105" s="10" t="inlineStr">
        <is>
          <t>Sube una foto del lugar donde se instalará el punto de red ({ctx.area.label}).</t>
        </is>
      </c>
      <c r="D105" s="10" t="inlineStr">
        <is>
          <t>EVIDENCE</t>
        </is>
      </c>
      <c r="E105" s="10" t="inlineStr"/>
    </row>
    <row r="106">
      <c r="A106" s="10" t="inlineStr">
        <is>
          <t>U5</t>
        </is>
      </c>
      <c r="B106" s="10" t="inlineStr">
        <is>
          <t>U</t>
        </is>
      </c>
      <c r="C106" s="10" t="inlineStr">
        <is>
          <t>{ctx.equipo}: ¿hay una toma de energía cerca de donde irá el equipo?</t>
        </is>
      </c>
      <c r="D106" s="10" t="inlineStr">
        <is>
          <t>YES_NO</t>
        </is>
      </c>
      <c r="E106" s="10" t="inlineStr">
        <is>
          <t>SI · NO</t>
        </is>
      </c>
    </row>
    <row r="107">
      <c r="A107" s="10" t="inlineStr">
        <is>
          <t>U6</t>
        </is>
      </c>
      <c r="B107" s="10" t="inlineStr">
        <is>
          <t>U</t>
        </is>
      </c>
      <c r="C107" s="10" t="inlineStr">
        <is>
          <t>Sube una foto de la toma cercana ({ctx.area.label}).</t>
        </is>
      </c>
      <c r="D107" s="10" t="inlineStr">
        <is>
          <t>EVIDENCE</t>
        </is>
      </c>
      <c r="E107" s="10" t="inlineStr"/>
    </row>
    <row r="108">
      <c r="A108" s="10" t="inlineStr">
        <is>
          <t>U7</t>
        </is>
      </c>
      <c r="B108" s="10" t="inlineStr">
        <is>
          <t>U</t>
        </is>
      </c>
      <c r="C108" s="10" t="inlineStr">
        <is>
          <t>{ctx.equipo}: ¿dónde se instalará la toma de energía en {ctx.area.label}, según el cliente?</t>
        </is>
      </c>
      <c r="D108" s="10" t="inlineStr">
        <is>
          <t>TEXT</t>
        </is>
      </c>
      <c r="E108" s="10" t="inlineStr"/>
    </row>
    <row r="109">
      <c r="A109" s="10" t="inlineStr">
        <is>
          <t>U8</t>
        </is>
      </c>
      <c r="B109" s="10" t="inlineStr">
        <is>
          <t>U</t>
        </is>
      </c>
      <c r="C109" s="10" t="inlineStr">
        <is>
          <t>Sube una foto del lugar donde se instalará la toma ({ctx.area.label}).</t>
        </is>
      </c>
      <c r="D109" s="10" t="inlineStr">
        <is>
          <t>EVIDENCE</t>
        </is>
      </c>
      <c r="E109" s="10"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1" customWidth="1" min="2" max="2"/>
    <col width="14" customWidth="1" min="3" max="3"/>
    <col width="30" customWidth="1" min="4" max="4"/>
    <col width="30" customWidth="1" min="5" max="5"/>
    <col width="12" customWidth="1" min="6" max="6"/>
    <col width="22" customWidth="1" min="7" max="7"/>
    <col width="60" customWidth="1" min="8" max="8"/>
    <col width="9" customWidth="1" min="9" max="9"/>
  </cols>
  <sheetData>
    <row r="1" ht="34" customHeight="1">
      <c r="A1" s="9" t="inlineStr">
        <is>
          <t>caso_id</t>
        </is>
      </c>
      <c r="B1" s="9" t="inlineStr">
        <is>
          <t>necesita_comandas</t>
        </is>
      </c>
      <c r="C1" s="9" t="inlineStr">
        <is>
          <t>equipo_caja</t>
        </is>
      </c>
      <c r="D1" s="9" t="inlineStr">
        <is>
          <t>impresoras</t>
        </is>
      </c>
      <c r="E1" s="9" t="inlineStr">
        <is>
          <t>que_imprime</t>
        </is>
      </c>
      <c r="F1" s="9" t="inlineStr">
        <is>
          <t>requiere_controlador</t>
        </is>
      </c>
      <c r="G1" s="9" t="inlineStr">
        <is>
          <t>donde_va_el_controlador</t>
        </is>
      </c>
      <c r="H1" s="9" t="inlineStr">
        <is>
          <t>recomendacion</t>
        </is>
      </c>
      <c r="I1" s="9" t="inlineStr">
        <is>
          <t>regla_id</t>
        </is>
      </c>
    </row>
    <row r="2">
      <c r="A2" s="10" t="inlineStr">
        <is>
          <t>D1</t>
        </is>
      </c>
      <c r="B2" s="10" t="inlineStr">
        <is>
          <t>SI</t>
        </is>
      </c>
      <c r="C2" s="10" t="inlineStr">
        <is>
          <t>PC o laptop</t>
        </is>
      </c>
      <c r="D2" s="10" t="inlineStr">
        <is>
          <t>USB en caja</t>
        </is>
      </c>
      <c r="E2" s="10" t="inlineStr">
        <is>
          <t>Comandas, pre-cuentas y comprobantes</t>
        </is>
      </c>
      <c r="F2" s="10" t="inlineStr">
        <is>
          <t>SI</t>
        </is>
      </c>
      <c r="G2" s="10" t="inlineStr">
        <is>
          <t>PC o laptop de caja</t>
        </is>
      </c>
      <c r="H2" s="10" t="inlineStr">
        <is>
          <t>Instalar el controlador en la PC o laptop y conectar ahí la impresora USB.</t>
        </is>
      </c>
      <c r="I2" s="10" t="inlineStr">
        <is>
          <t>R40</t>
        </is>
      </c>
    </row>
    <row r="3">
      <c r="A3" s="10" t="inlineStr">
        <is>
          <t>D2</t>
        </is>
      </c>
      <c r="B3" s="10" t="inlineStr">
        <is>
          <t>SI</t>
        </is>
      </c>
      <c r="C3" s="10" t="inlineStr">
        <is>
          <t>PC o laptop</t>
        </is>
      </c>
      <c r="D3" s="10" t="inlineStr">
        <is>
          <t>De red en otras áreas (cocina, bar, brasas…)</t>
        </is>
      </c>
      <c r="E3" s="10" t="inlineStr">
        <is>
          <t>Comandas, pre-cuentas y comprobantes</t>
        </is>
      </c>
      <c r="F3" s="10" t="inlineStr">
        <is>
          <t>SI</t>
        </is>
      </c>
      <c r="G3" s="10" t="inlineStr">
        <is>
          <t>PC o laptop de caja</t>
        </is>
      </c>
      <c r="H3" s="10" t="inlineStr">
        <is>
          <t>Instalar el controlador en la PC o laptop; las impresoras de red imprimen las tres.</t>
        </is>
      </c>
      <c r="I3" s="10" t="inlineStr">
        <is>
          <t>R40</t>
        </is>
      </c>
    </row>
    <row r="4">
      <c r="A4" s="10" t="inlineStr">
        <is>
          <t>D3</t>
        </is>
      </c>
      <c r="B4" s="10" t="inlineStr">
        <is>
          <t>SI</t>
        </is>
      </c>
      <c r="C4" s="10" t="inlineStr">
        <is>
          <t>No / No sé / Otro</t>
        </is>
      </c>
      <c r="D4" s="10" t="inlineStr">
        <is>
          <t>Solo de red (ninguna USB)</t>
        </is>
      </c>
      <c r="E4" s="10" t="inlineStr">
        <is>
          <t>Comandas, pre-cuentas y comprobantes</t>
        </is>
      </c>
      <c r="F4" s="10" t="inlineStr">
        <is>
          <t>SI</t>
        </is>
      </c>
      <c r="G4" s="10" t="inlineStr">
        <is>
          <t>Kit Raspberry</t>
        </is>
      </c>
      <c r="H4" s="10" t="inlineStr">
        <is>
          <t>Recomendar al cliente un kit Raspberry para instalar el controlador.</t>
        </is>
      </c>
      <c r="I4" s="10" t="inlineStr">
        <is>
          <t>R02</t>
        </is>
      </c>
    </row>
    <row r="5">
      <c r="A5" s="10" t="inlineStr">
        <is>
          <t>D3b</t>
        </is>
      </c>
      <c r="B5" s="10" t="inlineStr">
        <is>
          <t>SI</t>
        </is>
      </c>
      <c r="C5" s="10" t="inlineStr">
        <is>
          <t>No / No sé / Otro</t>
        </is>
      </c>
      <c r="D5" s="10" t="inlineStr">
        <is>
          <t>USB en caja</t>
        </is>
      </c>
      <c r="E5" s="10" t="inlineStr">
        <is>
          <t>Comandas, pre-cuentas y comprobantes</t>
        </is>
      </c>
      <c r="F5" s="10" t="inlineStr">
        <is>
          <t>SI</t>
        </is>
      </c>
      <c r="G5" s="10" t="inlineStr">
        <is>
          <t>Laptop o PC (a adquirir)</t>
        </is>
      </c>
      <c r="H5" s="10" t="inlineStr">
        <is>
          <t>No sirve Raspberry: recomendar una laptop o PC con el controlador. Alternativa: cambiar la USB por una de red y usar Raspberry.</t>
        </is>
      </c>
      <c r="I5" s="10" t="inlineStr">
        <is>
          <t>R43</t>
        </is>
      </c>
    </row>
    <row r="6">
      <c r="A6" s="10" t="inlineStr">
        <is>
          <t>D8</t>
        </is>
      </c>
      <c r="B6" s="10" t="inlineStr">
        <is>
          <t>Cualquiera</t>
        </is>
      </c>
      <c r="C6" s="10" t="inlineStr">
        <is>
          <t>Tablet (o solo tablets)</t>
        </is>
      </c>
      <c r="D6" s="10" t="inlineStr">
        <is>
          <t>De red</t>
        </is>
      </c>
      <c r="E6" s="10" t="inlineStr">
        <is>
          <t>Comandas, pre-cuentas y comprobantes</t>
        </is>
      </c>
      <c r="F6" s="10" t="inlineStr">
        <is>
          <t>SI</t>
        </is>
      </c>
      <c r="G6" s="10" t="inlineStr">
        <is>
          <t>Kit Raspberry (obligatorio)</t>
        </is>
      </c>
      <c r="H6" s="10" t="inlineStr">
        <is>
          <t>Raspberry obligatorio; las impresoras deben ser de red. Cotizar con Desarrollo de Negocios.</t>
        </is>
      </c>
      <c r="I6" s="10" t="inlineStr">
        <is>
          <t>R47</t>
        </is>
      </c>
    </row>
    <row r="7">
      <c r="A7" s="10" t="inlineStr">
        <is>
          <t>D7</t>
        </is>
      </c>
      <c r="B7" s="10" t="inlineStr">
        <is>
          <t>SOLO EN CAJA</t>
        </is>
      </c>
      <c r="C7" s="10" t="inlineStr">
        <is>
          <t>Cualquiera</t>
        </is>
      </c>
      <c r="D7" s="10" t="inlineStr">
        <is>
          <t>Sunmi (impresora integrada)</t>
        </is>
      </c>
      <c r="E7" s="10" t="inlineStr">
        <is>
          <t>Comprobantes, pre-cuentas y comandas</t>
        </is>
      </c>
      <c r="F7" s="10" t="inlineStr">
        <is>
          <t>NO</t>
        </is>
      </c>
      <c r="G7" s="10" t="inlineStr">
        <is>
          <t>—</t>
        </is>
      </c>
      <c r="H7" s="10" t="inlineStr">
        <is>
          <t>Recomendar un Sunmi con chip (validar señal del chip con un celular). Cotizar con Desarrollo de Negocios.</t>
        </is>
      </c>
      <c r="I7" s="10" t="inlineStr">
        <is>
          <t>R44</t>
        </is>
      </c>
    </row>
    <row r="8">
      <c r="A8" s="10" t="inlineStr">
        <is>
          <t>D4</t>
        </is>
      </c>
      <c r="B8" s="10" t="inlineStr">
        <is>
          <t>NO</t>
        </is>
      </c>
      <c r="C8" s="10" t="inlineStr">
        <is>
          <t>PC o laptop</t>
        </is>
      </c>
      <c r="D8" s="10" t="inlineStr">
        <is>
          <t>USB en caja</t>
        </is>
      </c>
      <c r="E8" s="10" t="inlineStr">
        <is>
          <t>Pre-cuentas y comprobantes</t>
        </is>
      </c>
      <c r="F8" s="10" t="inlineStr">
        <is>
          <t>NO</t>
        </is>
      </c>
      <c r="G8" s="10" t="inlineStr">
        <is>
          <t>—</t>
        </is>
      </c>
      <c r="H8" s="10" t="inlineStr">
        <is>
          <t>Usar la impresora USB directo desde la PC o laptop; no instalar controlador.</t>
        </is>
      </c>
      <c r="I8" s="10" t="inlineStr">
        <is>
          <t>R42</t>
        </is>
      </c>
    </row>
    <row r="9">
      <c r="A9" s="10" t="inlineStr">
        <is>
          <t>D5</t>
        </is>
      </c>
      <c r="B9" s="10" t="inlineStr">
        <is>
          <t>NO</t>
        </is>
      </c>
      <c r="C9" s="10" t="inlineStr">
        <is>
          <t>No / No sé / Otro</t>
        </is>
      </c>
      <c r="D9" s="10" t="inlineStr">
        <is>
          <t>USB en caja</t>
        </is>
      </c>
      <c r="E9" s="10" t="inlineStr">
        <is>
          <t>Pre-cuentas y comprobantes</t>
        </is>
      </c>
      <c r="F9" s="10" t="inlineStr">
        <is>
          <t>NO</t>
        </is>
      </c>
      <c r="G9" s="10" t="inlineStr">
        <is>
          <t>—</t>
        </is>
      </c>
      <c r="H9" s="10" t="inlineStr">
        <is>
          <t>Recomendar una laptop o PC básica con puerto USB; no hace falta Raspberry.</t>
        </is>
      </c>
      <c r="I9" s="10" t="inlineStr">
        <is>
          <t>R41</t>
        </is>
      </c>
    </row>
    <row r="10">
      <c r="A10" s="10" t="inlineStr">
        <is>
          <t>D6</t>
        </is>
      </c>
      <c r="B10" s="10" t="inlineStr">
        <is>
          <t>NO</t>
        </is>
      </c>
      <c r="C10" s="10" t="inlineStr">
        <is>
          <t>Cualquiera</t>
        </is>
      </c>
      <c r="D10" s="10" t="inlineStr">
        <is>
          <t>Solo de red</t>
        </is>
      </c>
      <c r="E10" s="10" t="inlineStr">
        <is>
          <t>Pre-cuentas y comprobantes</t>
        </is>
      </c>
      <c r="F10" s="10" t="inlineStr">
        <is>
          <t>NO</t>
        </is>
      </c>
      <c r="G10" s="10" t="inlineStr">
        <is>
          <t>—</t>
        </is>
      </c>
      <c r="H10" s="10" t="inlineStr">
        <is>
          <t>No hace falta impresora de red: basta una impresora USB en caja conectada a la laptop o PC.</t>
        </is>
      </c>
      <c r="I10" s="10" t="inlineStr">
        <is>
          <t>R42</t>
        </is>
      </c>
    </row>
    <row r="11">
      <c r="A11" s="10" t="inlineStr">
        <is>
          <t>D9</t>
        </is>
      </c>
      <c r="B11" s="10" t="inlineStr">
        <is>
          <t>SI</t>
        </is>
      </c>
      <c r="C11" s="10" t="inlineStr">
        <is>
          <t>Cualquiera</t>
        </is>
      </c>
      <c r="D11" s="10" t="inlineStr">
        <is>
          <t>Impresora en área de preparación (cocina, bar, jugos…)</t>
        </is>
      </c>
      <c r="E11" s="10" t="inlineStr">
        <is>
          <t>Comandas (y pre-cuentas si aplica)</t>
        </is>
      </c>
      <c r="F11" s="10" t="inlineStr">
        <is>
          <t>SI</t>
        </is>
      </c>
      <c r="G11" s="10" t="inlineStr">
        <is>
          <t>PC, laptop o Raspberry</t>
        </is>
      </c>
      <c r="H11" s="10" t="inlineStr">
        <is>
          <t>Debe ser impresora de red por cable. USB o Bluetooth no sirven en áreas de preparación.</t>
        </is>
      </c>
      <c r="I11" s="10" t="inlineStr">
        <is>
          <t>R51</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30" customWidth="1" min="2" max="2"/>
    <col width="14" customWidth="1" min="3" max="3"/>
    <col width="20" customWidth="1" min="4" max="4"/>
    <col width="80" customWidth="1" min="5" max="5"/>
    <col width="9" customWidth="1" min="6" max="6"/>
  </cols>
  <sheetData>
    <row r="1" ht="34" customHeight="1">
      <c r="A1" s="9" t="inlineStr">
        <is>
          <t>caso_id</t>
        </is>
      </c>
      <c r="B1" s="9" t="inlineStr">
        <is>
          <t>conexion_actual_P14</t>
        </is>
      </c>
      <c r="C1" s="9" t="inlineStr">
        <is>
          <t>necesita_comandas</t>
        </is>
      </c>
      <c r="D1" s="9" t="inlineStr">
        <is>
          <t>senal_chip</t>
        </is>
      </c>
      <c r="E1" s="9" t="inlineStr">
        <is>
          <t>recomendacion</t>
        </is>
      </c>
      <c r="F1" s="9" t="inlineStr">
        <is>
          <t>regla_id</t>
        </is>
      </c>
    </row>
    <row r="2">
      <c r="A2" s="10" t="inlineStr">
        <is>
          <t>I1</t>
        </is>
      </c>
      <c r="B2" s="10" t="inlineStr">
        <is>
          <t>Fibra óptica o Cable coaxial</t>
        </is>
      </c>
      <c r="C2" s="10" t="inlineStr">
        <is>
          <t>Cualquiera</t>
        </is>
      </c>
      <c r="D2" s="10" t="inlineStr">
        <is>
          <t>— (solo si va Sunmi)</t>
        </is>
      </c>
      <c r="E2" s="10" t="inlineStr">
        <is>
          <t>Mantener la conexión. No se hace prueba de chip salvo que vaya Sunmi.</t>
        </is>
      </c>
      <c r="F2" s="10" t="inlineStr">
        <is>
          <t>R33</t>
        </is>
      </c>
    </row>
    <row r="3">
      <c r="A3" s="10" t="inlineStr">
        <is>
          <t>I1b</t>
        </is>
      </c>
      <c r="B3" s="10" t="inlineStr">
        <is>
          <t>Internet con chip</t>
        </is>
      </c>
      <c r="C3" s="10" t="inlineStr">
        <is>
          <t>Cualquiera</t>
        </is>
      </c>
      <c r="D3" s="10" t="inlineStr">
        <is>
          <t>Se mide con el speedtest E1</t>
        </is>
      </c>
      <c r="E3" s="10" t="inlineStr">
        <is>
          <t>Si necesita comandas, el chip debe ir en un router (no un celular compartiendo datos).</t>
        </is>
      </c>
      <c r="F3" s="10" t="inlineStr">
        <is>
          <t>R56</t>
        </is>
      </c>
    </row>
    <row r="4">
      <c r="A4" s="10" t="inlineStr">
        <is>
          <t>I2</t>
        </is>
      </c>
      <c r="B4" s="10" t="inlineStr">
        <is>
          <t>No tiene o No sé (= sin internet)</t>
        </is>
      </c>
      <c r="C4" s="10" t="inlineStr">
        <is>
          <t>SI</t>
        </is>
      </c>
      <c r="D4" s="10" t="inlineStr">
        <is>
          <t>Entel, Claro o ambos</t>
        </is>
      </c>
      <c r="E4" s="10" t="inlineStr">
        <is>
          <t>Router (TP-Link) con chip del proveedor que tuvo señal en la prueba con el celular.</t>
        </is>
      </c>
      <c r="F4" s="10" t="inlineStr">
        <is>
          <t>R56</t>
        </is>
      </c>
    </row>
    <row r="5">
      <c r="A5" s="10" t="inlineStr">
        <is>
          <t>I3</t>
        </is>
      </c>
      <c r="B5" s="10" t="inlineStr">
        <is>
          <t>No tiene o No sé (= sin internet)</t>
        </is>
      </c>
      <c r="C5" s="10" t="inlineStr">
        <is>
          <t>NO</t>
        </is>
      </c>
      <c r="D5" s="10" t="inlineStr">
        <is>
          <t>—</t>
        </is>
      </c>
      <c r="E5" s="10" t="inlineStr">
        <is>
          <t>No se recomienda router con chip. Si se usa Sunmi, validar igual la señal del chip.</t>
        </is>
      </c>
      <c r="F5" s="10" t="inlineStr">
        <is>
          <t>R44</t>
        </is>
      </c>
    </row>
    <row r="6">
      <c r="A6" s="10" t="inlineStr">
        <is>
          <t>I4</t>
        </is>
      </c>
      <c r="B6" s="10" t="inlineStr">
        <is>
          <t>No tiene o No sé (= sin internet)</t>
        </is>
      </c>
      <c r="C6" s="10" t="inlineStr">
        <is>
          <t>Cualquiera</t>
        </is>
      </c>
      <c r="D6" s="10" t="inlineStr">
        <is>
          <t>Ninguno</t>
        </is>
      </c>
      <c r="E6" s="10" t="inlineStr">
        <is>
          <t>Sin conectividad viable: evaluar satelital (Starlink) y segunda visita. (Propuesta)</t>
        </is>
      </c>
      <c r="F6" s="10" t="inlineStr">
        <is>
          <t>R46</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D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15" customWidth="1" min="3" max="3"/>
    <col width="16" customWidth="1" min="4" max="4"/>
  </cols>
  <sheetData>
    <row r="1" ht="34" customHeight="1">
      <c r="A1" s="9" t="inlineStr">
        <is>
          <t>area</t>
        </is>
      </c>
      <c r="B1" s="9" t="inlineStr">
        <is>
          <t>etiqueta</t>
        </is>
      </c>
      <c r="C1" s="9" t="inlineStr">
        <is>
          <t>es_preparacion</t>
        </is>
      </c>
      <c r="D1" s="9" t="inlineStr">
        <is>
          <t>ya_esta_en_P11</t>
        </is>
      </c>
    </row>
    <row r="2">
      <c r="A2" s="10" t="inlineStr">
        <is>
          <t>BAR</t>
        </is>
      </c>
      <c r="B2" s="10" t="inlineStr">
        <is>
          <t>Bar / barra</t>
        </is>
      </c>
      <c r="C2" s="10" t="inlineStr">
        <is>
          <t>SI</t>
        </is>
      </c>
      <c r="D2" s="10" t="inlineStr">
        <is>
          <t>SI</t>
        </is>
      </c>
    </row>
    <row r="3">
      <c r="A3" s="10" t="inlineStr">
        <is>
          <t>COCINA</t>
        </is>
      </c>
      <c r="B3" s="10" t="inlineStr">
        <is>
          <t>Cocina</t>
        </is>
      </c>
      <c r="C3" s="10" t="inlineStr">
        <is>
          <t>SI</t>
        </is>
      </c>
      <c r="D3" s="10" t="inlineStr">
        <is>
          <t>SI</t>
        </is>
      </c>
    </row>
    <row r="4">
      <c r="A4" s="10" t="inlineStr">
        <is>
          <t>PIZZA</t>
        </is>
      </c>
      <c r="B4" s="10" t="inlineStr">
        <is>
          <t>Pizza</t>
        </is>
      </c>
      <c r="C4" s="10" t="inlineStr">
        <is>
          <t>SI</t>
        </is>
      </c>
      <c r="D4" s="10" t="inlineStr">
        <is>
          <t>SI</t>
        </is>
      </c>
    </row>
    <row r="5">
      <c r="A5" s="10" t="inlineStr">
        <is>
          <t>BRASAS</t>
        </is>
      </c>
      <c r="B5" s="10" t="inlineStr">
        <is>
          <t>Brasas</t>
        </is>
      </c>
      <c r="C5" s="10" t="inlineStr">
        <is>
          <t>SI</t>
        </is>
      </c>
      <c r="D5" s="10" t="inlineStr">
        <is>
          <t>SI</t>
        </is>
      </c>
    </row>
    <row r="6">
      <c r="A6" s="10" t="inlineStr">
        <is>
          <t>JUGOS</t>
        </is>
      </c>
      <c r="B6" s="10" t="inlineStr">
        <is>
          <t>Jugos</t>
        </is>
      </c>
      <c r="C6" s="10" t="inlineStr">
        <is>
          <t>SI</t>
        </is>
      </c>
      <c r="D6" s="10" t="inlineStr">
        <is>
          <t>SI</t>
        </is>
      </c>
    </row>
    <row r="7">
      <c r="A7" s="10" t="inlineStr">
        <is>
          <t>CAFETERIA</t>
        </is>
      </c>
      <c r="B7" s="10" t="inlineStr">
        <is>
          <t>Cafetería</t>
        </is>
      </c>
      <c r="C7" s="10" t="inlineStr">
        <is>
          <t>SI</t>
        </is>
      </c>
      <c r="D7" s="10" t="inlineStr">
        <is>
          <t>NO (agregar)</t>
        </is>
      </c>
    </row>
    <row r="8">
      <c r="A8" s="10" t="inlineStr">
        <is>
          <t>PARRILLA</t>
        </is>
      </c>
      <c r="B8" s="10" t="inlineStr">
        <is>
          <t>Parrillas</t>
        </is>
      </c>
      <c r="C8" s="10" t="inlineStr">
        <is>
          <t>SI</t>
        </is>
      </c>
      <c r="D8" s="10" t="inlineStr">
        <is>
          <t>NO (agregar)</t>
        </is>
      </c>
    </row>
    <row r="9">
      <c r="A9" s="10" t="inlineStr">
        <is>
          <t>MAKIS</t>
        </is>
      </c>
      <c r="B9" s="10" t="inlineStr">
        <is>
          <t>Makis</t>
        </is>
      </c>
      <c r="C9" s="10" t="inlineStr">
        <is>
          <t>SI</t>
        </is>
      </c>
      <c r="D9" s="10" t="inlineStr">
        <is>
          <t>NO (agregar)</t>
        </is>
      </c>
    </row>
    <row r="10">
      <c r="A10" s="10" t="inlineStr">
        <is>
          <t>RAMEN</t>
        </is>
      </c>
      <c r="B10" s="10" t="inlineStr">
        <is>
          <t>Ramen</t>
        </is>
      </c>
      <c r="C10" s="10" t="inlineStr">
        <is>
          <t>SI</t>
        </is>
      </c>
      <c r="D10" s="10" t="inlineStr">
        <is>
          <t>NO (agregar)</t>
        </is>
      </c>
    </row>
    <row r="11">
      <c r="A11" s="10" t="inlineStr">
        <is>
          <t>PANADERIA</t>
        </is>
      </c>
      <c r="B11" s="10" t="inlineStr">
        <is>
          <t>Panadería</t>
        </is>
      </c>
      <c r="C11" s="10" t="inlineStr">
        <is>
          <t>SI</t>
        </is>
      </c>
      <c r="D11" s="10" t="inlineStr">
        <is>
          <t>NO (agregar)</t>
        </is>
      </c>
    </row>
    <row r="12">
      <c r="A12" s="10" t="inlineStr">
        <is>
          <t>CAJA</t>
        </is>
      </c>
      <c r="B12" s="10" t="inlineStr">
        <is>
          <t>Caja</t>
        </is>
      </c>
      <c r="C12" s="10" t="inlineStr">
        <is>
          <t>NO</t>
        </is>
      </c>
      <c r="D12" s="10" t="inlineStr">
        <is>
          <t>SI</t>
        </is>
      </c>
    </row>
    <row r="13">
      <c r="A13" s="10" t="inlineStr">
        <is>
          <t>SALON_1</t>
        </is>
      </c>
      <c r="B13" s="10" t="inlineStr">
        <is>
          <t>Salón 1</t>
        </is>
      </c>
      <c r="C13" s="10" t="inlineStr">
        <is>
          <t>NO</t>
        </is>
      </c>
      <c r="D13" s="10" t="inlineStr">
        <is>
          <t>SI</t>
        </is>
      </c>
    </row>
    <row r="14">
      <c r="A14" s="10" t="inlineStr">
        <is>
          <t>SALON_2</t>
        </is>
      </c>
      <c r="B14" s="10" t="inlineStr">
        <is>
          <t>Salón 2</t>
        </is>
      </c>
      <c r="C14" s="10" t="inlineStr">
        <is>
          <t>NO</t>
        </is>
      </c>
      <c r="D14" s="10" t="inlineStr">
        <is>
          <t>SI</t>
        </is>
      </c>
    </row>
    <row r="15">
      <c r="A15" s="10" t="inlineStr">
        <is>
          <t>TERRAZA</t>
        </is>
      </c>
      <c r="B15" s="10" t="inlineStr">
        <is>
          <t>Terraza</t>
        </is>
      </c>
      <c r="C15" s="10" t="inlineStr">
        <is>
          <t>NO</t>
        </is>
      </c>
      <c r="D15" s="10" t="inlineStr">
        <is>
          <t>SI</t>
        </is>
      </c>
    </row>
    <row r="16">
      <c r="A16" s="10" t="inlineStr">
        <is>
          <t>DESPACHO</t>
        </is>
      </c>
      <c r="B16" s="10" t="inlineStr">
        <is>
          <t>Despacho</t>
        </is>
      </c>
      <c r="C16" s="10" t="inlineStr">
        <is>
          <t>NO</t>
        </is>
      </c>
      <c r="D16" s="10" t="inlineStr">
        <is>
          <t>SI</t>
        </is>
      </c>
    </row>
    <row r="17">
      <c r="A17" s="10" t="inlineStr">
        <is>
          <t>ALMACEN</t>
        </is>
      </c>
      <c r="B17" s="10" t="inlineStr">
        <is>
          <t>Almacén</t>
        </is>
      </c>
      <c r="C17" s="10" t="inlineStr">
        <is>
          <t>NO</t>
        </is>
      </c>
      <c r="D17" s="10" t="inlineStr">
        <is>
          <t>SI</t>
        </is>
      </c>
    </row>
    <row r="18">
      <c r="A18" s="10" t="inlineStr">
        <is>
          <t>OFICINA</t>
        </is>
      </c>
      <c r="B18" s="10" t="inlineStr">
        <is>
          <t>Oficina</t>
        </is>
      </c>
      <c r="C18" s="10" t="inlineStr">
        <is>
          <t>NO</t>
        </is>
      </c>
      <c r="D18" s="10" t="inlineStr">
        <is>
          <t>SI</t>
        </is>
      </c>
    </row>
    <row r="19">
      <c r="A19" s="10" t="inlineStr">
        <is>
          <t>OTRO</t>
        </is>
      </c>
      <c r="B19" s="10" t="inlineStr">
        <is>
          <t>Otro</t>
        </is>
      </c>
      <c r="C19" s="10" t="inlineStr">
        <is>
          <t>PREGUNTAR</t>
        </is>
      </c>
      <c r="D19" s="10" t="inlineStr">
        <is>
          <t>SI</t>
        </is>
      </c>
    </row>
    <row r="20">
      <c r="A20" s="10" t="inlineStr">
        <is>
          <t>BARRA_1</t>
        </is>
      </c>
      <c r="B20" s="10" t="inlineStr">
        <is>
          <t>Barra 1</t>
        </is>
      </c>
      <c r="C20" s="10" t="inlineStr">
        <is>
          <t>SI</t>
        </is>
      </c>
      <c r="D20" s="10" t="inlineStr">
        <is>
          <t>NO (agregar; Discoteca/Bar/Restobar)</t>
        </is>
      </c>
    </row>
    <row r="21">
      <c r="A21" s="10" t="inlineStr">
        <is>
          <t>BARRA_2</t>
        </is>
      </c>
      <c r="B21" s="10" t="inlineStr">
        <is>
          <t>Barra 2</t>
        </is>
      </c>
      <c r="C21" s="10" t="inlineStr">
        <is>
          <t>SI</t>
        </is>
      </c>
      <c r="D21" s="10" t="inlineStr">
        <is>
          <t>NO (agregar; Discoteca/Bar/Restobar)</t>
        </is>
      </c>
    </row>
    <row r="22">
      <c r="A22" s="10" t="inlineStr">
        <is>
          <t>BARRA_3</t>
        </is>
      </c>
      <c r="B22" s="10" t="inlineStr">
        <is>
          <t>Barra 3</t>
        </is>
      </c>
      <c r="C22" s="10" t="inlineStr">
        <is>
          <t>SI</t>
        </is>
      </c>
      <c r="D22" s="10" t="inlineStr">
        <is>
          <t>NO (agregar; Discoteca/Bar/Restobar)</t>
        </is>
      </c>
    </row>
    <row r="23">
      <c r="A23" s="10" t="inlineStr">
        <is>
          <t>COCINA_1</t>
        </is>
      </c>
      <c r="B23" s="10" t="inlineStr">
        <is>
          <t>Cocina 1</t>
        </is>
      </c>
      <c r="C23" s="10" t="inlineStr">
        <is>
          <t>SI</t>
        </is>
      </c>
      <c r="D23" s="10" t="inlineStr">
        <is>
          <t>NO (agregar; Discoteca/Bar/Restobar)</t>
        </is>
      </c>
    </row>
    <row r="24">
      <c r="A24" s="10" t="inlineStr">
        <is>
          <t>COCINA_2</t>
        </is>
      </c>
      <c r="B24" s="10" t="inlineStr">
        <is>
          <t>Cocina 2</t>
        </is>
      </c>
      <c r="C24" s="10" t="inlineStr">
        <is>
          <t>SI</t>
        </is>
      </c>
      <c r="D24" s="10" t="inlineStr">
        <is>
          <t>NO (agregar; Discoteca/Bar/Restobar)</t>
        </is>
      </c>
    </row>
    <row r="25">
      <c r="A25" s="10" t="inlineStr">
        <is>
          <t>FRITURAS</t>
        </is>
      </c>
      <c r="B25" s="10" t="inlineStr">
        <is>
          <t>Frituras</t>
        </is>
      </c>
      <c r="C25" s="10" t="inlineStr">
        <is>
          <t>SI</t>
        </is>
      </c>
      <c r="D25" s="10" t="inlineStr">
        <is>
          <t>NO (agregar; perfiles por rubro)</t>
        </is>
      </c>
    </row>
    <row r="26">
      <c r="A26" s="10" t="inlineStr">
        <is>
          <t>SALTEADOS</t>
        </is>
      </c>
      <c r="B26" s="10" t="inlineStr">
        <is>
          <t>Salteados</t>
        </is>
      </c>
      <c r="C26" s="10" t="inlineStr">
        <is>
          <t>SI</t>
        </is>
      </c>
      <c r="D26" s="10" t="inlineStr">
        <is>
          <t>NO (agregar; perfiles por rubro)</t>
        </is>
      </c>
    </row>
    <row r="27">
      <c r="A27" s="10" t="inlineStr">
        <is>
          <t>HELADOS</t>
        </is>
      </c>
      <c r="B27" s="10" t="inlineStr">
        <is>
          <t>Barra de helados</t>
        </is>
      </c>
      <c r="C27" s="10" t="inlineStr">
        <is>
          <t>SI</t>
        </is>
      </c>
      <c r="D27" s="10" t="inlineStr">
        <is>
          <t>NO (agregar; perfiles por rubro)</t>
        </is>
      </c>
    </row>
    <row r="28">
      <c r="A28" s="10" t="inlineStr">
        <is>
          <t>EMPAQUETADO</t>
        </is>
      </c>
      <c r="B28" s="10" t="inlineStr">
        <is>
          <t>Empaquetados</t>
        </is>
      </c>
      <c r="C28" s="10" t="inlineStr">
        <is>
          <t>SI</t>
        </is>
      </c>
      <c r="D28" s="10" t="inlineStr">
        <is>
          <t>NO (agregar; perfiles por rubro)</t>
        </is>
      </c>
    </row>
    <row r="29">
      <c r="A29" s="10" t="inlineStr">
        <is>
          <t>SALON_3</t>
        </is>
      </c>
      <c r="B29" s="10" t="inlineStr">
        <is>
          <t>Salón 3</t>
        </is>
      </c>
      <c r="C29" s="10" t="inlineStr">
        <is>
          <t>NO (zona de atención)</t>
        </is>
      </c>
      <c r="D29" s="10" t="inlineStr">
        <is>
          <t>NO (agregar; perfiles por rubro)</t>
        </is>
      </c>
    </row>
    <row r="30">
      <c r="A30" s="10" t="inlineStr">
        <is>
          <t>BALCON</t>
        </is>
      </c>
      <c r="B30" s="10" t="inlineStr">
        <is>
          <t>Balcón</t>
        </is>
      </c>
      <c r="C30" s="10" t="inlineStr">
        <is>
          <t>NO (zona de atención)</t>
        </is>
      </c>
      <c r="D30" s="10" t="inlineStr">
        <is>
          <t>NO (agregar; perfiles por rubro)</t>
        </is>
      </c>
    </row>
    <row r="31">
      <c r="A31" s="10" t="inlineStr">
        <is>
          <t>PRIVADO</t>
        </is>
      </c>
      <c r="B31" s="10" t="inlineStr">
        <is>
          <t>Privado</t>
        </is>
      </c>
      <c r="C31" s="10" t="inlineStr">
        <is>
          <t>NO (zona de atención)</t>
        </is>
      </c>
      <c r="D31" s="10" t="inlineStr">
        <is>
          <t>NO (agregar; perfiles por rubro)</t>
        </is>
      </c>
    </row>
    <row r="32">
      <c r="A32" s="10" t="inlineStr">
        <is>
          <t>PATIO</t>
        </is>
      </c>
      <c r="B32" s="10" t="inlineStr">
        <is>
          <t>Patio</t>
        </is>
      </c>
      <c r="C32" s="10" t="inlineStr">
        <is>
          <t>NO (zona de atención)</t>
        </is>
      </c>
      <c r="D32" s="10" t="inlineStr">
        <is>
          <t>NO (agregar; perfiles por rubro)</t>
        </is>
      </c>
    </row>
    <row r="33">
      <c r="A33" s="10" t="inlineStr">
        <is>
          <t>PISTA</t>
        </is>
      </c>
      <c r="B33" s="10" t="inlineStr">
        <is>
          <t>Pista de baile</t>
        </is>
      </c>
      <c r="C33" s="10" t="inlineStr">
        <is>
          <t>NO (zona de atención)</t>
        </is>
      </c>
      <c r="D33" s="10" t="inlineStr">
        <is>
          <t>NO (agregar; perfiles por rubro)</t>
        </is>
      </c>
    </row>
    <row r="34">
      <c r="A34" s="10" t="inlineStr">
        <is>
          <t>FRENTE_LOCAL</t>
        </is>
      </c>
      <c r="B34" s="10" t="inlineStr">
        <is>
          <t>Frente del local</t>
        </is>
      </c>
      <c r="C34" s="10" t="inlineStr">
        <is>
          <t>NO (zona de atención)</t>
        </is>
      </c>
      <c r="D34" s="10" t="inlineStr">
        <is>
          <t>NO (agregar; perfiles por rubro)</t>
        </is>
      </c>
    </row>
    <row r="35">
      <c r="A35" s="10" t="inlineStr">
        <is>
          <t>AREAS_COMUNES</t>
        </is>
      </c>
      <c r="B35" s="10" t="inlineStr">
        <is>
          <t>Áreas comunes</t>
        </is>
      </c>
      <c r="C35" s="10" t="inlineStr">
        <is>
          <t>NO (zona de atención)</t>
        </is>
      </c>
      <c r="D35" s="10" t="inlineStr">
        <is>
          <t>NO (agregar; perfiles por rubro)</t>
        </is>
      </c>
    </row>
    <row r="36">
      <c r="A36" s="10" t="inlineStr">
        <is>
          <t>PARA_LLEVAR</t>
        </is>
      </c>
      <c r="B36" s="10" t="inlineStr">
        <is>
          <t>Para llevar (sin WiFi)</t>
        </is>
      </c>
      <c r="C36" s="10" t="inlineStr">
        <is>
          <t>NO (zona de atención)</t>
        </is>
      </c>
      <c r="D36" s="10" t="inlineStr">
        <is>
          <t>NO (agregar; perfiles por rubro)</t>
        </is>
      </c>
    </row>
    <row r="37">
      <c r="A37" s="10" t="inlineStr">
        <is>
          <t>DELIVERY</t>
        </is>
      </c>
      <c r="B37" s="10" t="inlineStr">
        <is>
          <t>Delivery (sin WiFi)</t>
        </is>
      </c>
      <c r="C37" s="10" t="inlineStr">
        <is>
          <t>NO (zona de atención)</t>
        </is>
      </c>
      <c r="D37" s="10" t="inlineStr">
        <is>
          <t>NO (agregar; perfiles por rubro)</t>
        </is>
      </c>
    </row>
    <row r="38">
      <c r="A38" s="10" t="inlineStr">
        <is>
          <t>RECEPCION</t>
        </is>
      </c>
      <c r="B38" s="10" t="inlineStr">
        <is>
          <t>Recepción</t>
        </is>
      </c>
      <c r="C38" s="10" t="inlineStr">
        <is>
          <t>NO (caja)</t>
        </is>
      </c>
      <c r="D38" s="10" t="inlineStr">
        <is>
          <t>NO (agregar; perfiles por rubro)</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1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8" customWidth="1" min="1" max="1"/>
    <col width="30" customWidth="1" min="2" max="2"/>
    <col width="20" customWidth="1" min="3" max="3"/>
    <col width="70" customWidth="1" min="4" max="4"/>
  </cols>
  <sheetData>
    <row r="1" ht="34" customHeight="1">
      <c r="A1" s="9" t="inlineStr">
        <is>
          <t>equipo</t>
        </is>
      </c>
      <c r="B1" s="9" t="inlineStr">
        <is>
          <t>necesita_punto_red_cerca</t>
        </is>
      </c>
      <c r="C1" s="9" t="inlineStr">
        <is>
          <t>necesita_energia_cerca</t>
        </is>
      </c>
      <c r="D1" s="9" t="inlineStr">
        <is>
          <t>nota</t>
        </is>
      </c>
    </row>
    <row r="2">
      <c r="A2" s="10" t="inlineStr">
        <is>
          <t>Router principal</t>
        </is>
      </c>
      <c r="B2" s="10" t="inlineStr">
        <is>
          <t>— (es la central)</t>
        </is>
      </c>
      <c r="C2" s="10" t="inlineStr">
        <is>
          <t>SI</t>
        </is>
      </c>
      <c r="D2" s="10" t="inlineStr">
        <is>
          <t>Los cables de red de los demás equipos salen de aquí (o del switch).</t>
        </is>
      </c>
    </row>
    <row r="3">
      <c r="A3" s="10" t="inlineStr">
        <is>
          <t>Switch</t>
        </is>
      </c>
      <c r="B3" s="10" t="inlineStr">
        <is>
          <t>SI (cable hacia el router)</t>
        </is>
      </c>
      <c r="C3" s="10" t="inlineStr">
        <is>
          <t>SI</t>
        </is>
      </c>
      <c r="D3" s="10" t="inlineStr">
        <is>
          <t>Si no hay toma cerca: punto de energía adicional o extensión.</t>
        </is>
      </c>
    </row>
    <row r="4">
      <c r="A4" s="10" t="inlineStr">
        <is>
          <t>PC o laptop de caja</t>
        </is>
      </c>
      <c r="B4" s="10" t="inlineStr">
        <is>
          <t>SI (recomendado por cable)</t>
        </is>
      </c>
      <c r="C4" s="10" t="inlineStr">
        <is>
          <t>SI</t>
        </is>
      </c>
      <c r="D4" s="10" t="inlineStr">
        <is>
          <t>Por WiFi funciona, pero se recomienda cable (R11).</t>
        </is>
      </c>
    </row>
    <row r="5">
      <c r="A5" s="10" t="inlineStr">
        <is>
          <t>Raspberry</t>
        </is>
      </c>
      <c r="B5" s="10" t="inlineStr">
        <is>
          <t>SI</t>
        </is>
      </c>
      <c r="C5" s="10" t="inlineStr">
        <is>
          <t>SI</t>
        </is>
      </c>
      <c r="D5" s="10" t="inlineStr">
        <is>
          <t>Solo trabaja con impresoras de red.</t>
        </is>
      </c>
    </row>
    <row r="6">
      <c r="A6" s="10" t="inlineStr">
        <is>
          <t>Impresora de red</t>
        </is>
      </c>
      <c r="B6" s="10" t="inlineStr">
        <is>
          <t>SI</t>
        </is>
      </c>
      <c r="C6" s="10" t="inlineStr">
        <is>
          <t>SI</t>
        </is>
      </c>
      <c r="D6" s="10" t="inlineStr">
        <is>
          <t>Un extremo del cable en el router/switch y el otro junto a la impresora.</t>
        </is>
      </c>
    </row>
    <row r="7">
      <c r="A7" s="10" t="inlineStr">
        <is>
          <t>Impresora USB</t>
        </is>
      </c>
      <c r="B7" s="10" t="inlineStr">
        <is>
          <t>NO (va por USB a la PC o laptop)</t>
        </is>
      </c>
      <c r="C7" s="10" t="inlineStr">
        <is>
          <t>SI</t>
        </is>
      </c>
      <c r="D7" s="10" t="inlineStr">
        <is>
          <t>Debe estar junto a la PC o laptop.</t>
        </is>
      </c>
    </row>
    <row r="8">
      <c r="A8" s="10" t="inlineStr">
        <is>
          <t>Access point</t>
        </is>
      </c>
      <c r="B8" s="10" t="inlineStr">
        <is>
          <t>SI</t>
        </is>
      </c>
      <c r="C8" s="10" t="inlineStr">
        <is>
          <t>SI</t>
        </is>
      </c>
      <c r="D8" s="10" t="inlineStr">
        <is>
          <t>Se conecta por cable al router o switch.</t>
        </is>
      </c>
    </row>
    <row r="9">
      <c r="A9" s="10" t="inlineStr">
        <is>
          <t>Repetidor principal (1.º)</t>
        </is>
      </c>
      <c r="B9" s="10" t="inlineStr">
        <is>
          <t>SI</t>
        </is>
      </c>
      <c r="C9" s="10" t="inlineStr">
        <is>
          <t>SI</t>
        </is>
      </c>
      <c r="D9" s="10" t="inlineStr">
        <is>
          <t>El primer repetidor va cableado al router o switch.</t>
        </is>
      </c>
    </row>
    <row r="10">
      <c r="A10" s="10" t="inlineStr">
        <is>
          <t>Repetidor secundario (WiFi)</t>
        </is>
      </c>
      <c r="B10" s="10" t="inlineStr">
        <is>
          <t>NO</t>
        </is>
      </c>
      <c r="C10" s="10" t="inlineStr">
        <is>
          <t>SI</t>
        </is>
      </c>
      <c r="D10" s="10" t="inlineStr">
        <is>
          <t>Se conecta por WiFi al primer repetidor: solo necesita energía.</t>
        </is>
      </c>
    </row>
    <row r="11">
      <c r="A11" s="10" t="inlineStr">
        <is>
          <t>Sunmi</t>
        </is>
      </c>
      <c r="B11" s="10" t="inlineStr">
        <is>
          <t>NO (chip o WiFi)</t>
        </is>
      </c>
      <c r="C11" s="10" t="inlineStr">
        <is>
          <t>SI</t>
        </is>
      </c>
      <c r="D11" s="10" t="inlineStr">
        <is>
          <t>Validar señal del chip (R44).</t>
        </is>
      </c>
    </row>
    <row r="12">
      <c r="A12" s="10" t="inlineStr">
        <is>
          <t>Tablet / celular de mesero</t>
        </is>
      </c>
      <c r="B12" s="10" t="inlineStr">
        <is>
          <t>NO (WiFi)</t>
        </is>
      </c>
      <c r="C12" s="10" t="inlineStr">
        <is>
          <t>Carga</t>
        </is>
      </c>
      <c r="D12" s="10" t="inlineStr">
        <is>
          <t>Necesita cobertura WiFi en todas las zonas de atención (R19).</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E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12" customWidth="1" min="3" max="3"/>
    <col width="20" customWidth="1" min="4" max="4"/>
    <col width="80" customWidth="1" min="5" max="5"/>
  </cols>
  <sheetData>
    <row r="1" ht="34" customHeight="1">
      <c r="A1" s="9" t="inlineStr">
        <is>
          <t>tramo</t>
        </is>
      </c>
      <c r="B1" s="9" t="inlineStr">
        <is>
          <t>desde_mbps</t>
        </is>
      </c>
      <c r="C1" s="9" t="inlineStr">
        <is>
          <t>hasta_mbps</t>
        </is>
      </c>
      <c r="D1" s="9" t="inlineStr">
        <is>
          <t>puntaje_conectividad</t>
        </is>
      </c>
      <c r="E1" s="9" t="inlineStr">
        <is>
          <t>fuente</t>
        </is>
      </c>
    </row>
    <row r="2">
      <c r="A2" s="10" t="inlineStr">
        <is>
          <t>T0</t>
        </is>
      </c>
      <c r="B2" s="10" t="n">
        <v>0</v>
      </c>
      <c r="C2" s="10" t="n">
        <v>0</v>
      </c>
      <c r="D2" s="10" t="n">
        <v>0</v>
      </c>
      <c r="E2" s="10" t="inlineStr">
        <is>
          <t>Equipo: sin internet (P14 = No tiene o No sé) = 0 %</t>
        </is>
      </c>
    </row>
    <row r="3">
      <c r="A3" s="10" t="inlineStr">
        <is>
          <t>T1</t>
        </is>
      </c>
      <c r="B3" s="10" t="n">
        <v>1</v>
      </c>
      <c r="C3" s="10" t="n">
        <v>399</v>
      </c>
      <c r="D3" s="10" t="n">
        <v>30</v>
      </c>
      <c r="E3" s="10" t="inlineStr">
        <is>
          <t>Equipo: 200 Mbps = 30 %. Supuesto: hasta 399 Mbps y menos de 200 también 30 % (por confirmar)</t>
        </is>
      </c>
    </row>
    <row r="4">
      <c r="A4" s="10" t="inlineStr">
        <is>
          <t>T2</t>
        </is>
      </c>
      <c r="B4" s="10" t="n">
        <v>400</v>
      </c>
      <c r="C4" s="10" t="n">
        <v>699</v>
      </c>
      <c r="D4" s="10" t="n">
        <v>60</v>
      </c>
      <c r="E4" s="10" t="inlineStr">
        <is>
          <t>Equipo: 400 a 600 Mbps = 60 %. Supuesto: 601–699 también 60 %</t>
        </is>
      </c>
    </row>
    <row r="5">
      <c r="A5" s="10" t="inlineStr">
        <is>
          <t>T3</t>
        </is>
      </c>
      <c r="B5" s="10" t="n">
        <v>700</v>
      </c>
      <c r="C5" s="10" t="n">
        <v>899</v>
      </c>
      <c r="D5" s="10" t="n">
        <v>80</v>
      </c>
      <c r="E5" s="10" t="inlineStr">
        <is>
          <t>Equipo: 700 a 800 Mbps = 80 %. Supuesto: 801–899 también 80 %</t>
        </is>
      </c>
    </row>
    <row r="6">
      <c r="A6" s="10" t="inlineStr">
        <is>
          <t>T4</t>
        </is>
      </c>
      <c r="B6" s="10" t="n">
        <v>900</v>
      </c>
      <c r="C6" s="10" t="n">
        <v>100000</v>
      </c>
      <c r="D6" s="10" t="n">
        <v>100</v>
      </c>
      <c r="E6" s="10" t="inlineStr">
        <is>
          <t>Equipo: 900 a 1000 Mbps o más = 100 %</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50" customWidth="1" min="2" max="2"/>
    <col width="26" customWidth="1" min="3" max="3"/>
    <col width="40" customWidth="1" min="4" max="4"/>
    <col width="16" customWidth="1" min="5" max="5"/>
    <col width="70" customWidth="1" min="6" max="6"/>
    <col width="9" customWidth="1" min="7" max="7"/>
  </cols>
  <sheetData>
    <row r="1" ht="34" customHeight="1">
      <c r="A1" s="9" t="inlineStr">
        <is>
          <t>caso</t>
        </is>
      </c>
      <c r="B1" s="9" t="inlineStr">
        <is>
          <t>situacion</t>
        </is>
      </c>
      <c r="C1" s="9" t="inlineStr">
        <is>
          <t>plan_contratado</t>
        </is>
      </c>
      <c r="D1" s="9" t="inlineStr">
        <is>
          <t>puntaje_conectividad</t>
        </is>
      </c>
      <c r="E1" s="9" t="inlineStr">
        <is>
          <t>estado_minuta</t>
        </is>
      </c>
      <c r="F1" s="9" t="inlineStr">
        <is>
          <t>recomendacion</t>
        </is>
      </c>
      <c r="G1" s="9" t="inlineStr">
        <is>
          <t>regla_id</t>
        </is>
      </c>
    </row>
    <row r="2">
      <c r="A2" s="10" t="inlineStr">
        <is>
          <t>C0</t>
        </is>
      </c>
      <c r="B2" s="10" t="inlineStr">
        <is>
          <t>Sin internet (P14 = No tiene o No sé)</t>
        </is>
      </c>
      <c r="C2" s="10" t="inlineStr">
        <is>
          <t>—</t>
        </is>
      </c>
      <c r="D2" s="10" t="inlineStr">
        <is>
          <t>0 %</t>
        </is>
      </c>
      <c r="E2" s="10" t="inlineStr">
        <is>
          <t>OBSERVADO</t>
        </is>
      </c>
      <c r="F2" s="10" t="inlineStr">
        <is>
          <t>Prueba de chip y TP-Link con chip (red independiente).</t>
        </is>
      </c>
      <c r="G2" s="10" t="inlineStr">
        <is>
          <t>R56</t>
        </is>
      </c>
    </row>
    <row r="3">
      <c r="A3" s="10" t="inlineStr">
        <is>
          <t>C1</t>
        </is>
      </c>
      <c r="B3" s="10" t="inlineStr">
        <is>
          <t>Todas las áreas de atención con WiFi y el plan alcanza (200 Mbps por salón)</t>
        </is>
      </c>
      <c r="C3" s="10" t="inlineStr">
        <is>
          <t>Cualquiera</t>
        </is>
      </c>
      <c r="D3" s="10" t="inlineStr">
        <is>
          <t>Puntaje del tramo</t>
        </is>
      </c>
      <c r="E3" s="10" t="inlineStr">
        <is>
          <t>Según las demás reglas</t>
        </is>
      </c>
      <c r="F3" s="10" t="inlineStr">
        <is>
          <t>—</t>
        </is>
      </c>
      <c r="G3" s="10" t="inlineStr">
        <is>
          <t>—</t>
        </is>
      </c>
    </row>
    <row r="4">
      <c r="A4" s="10" t="inlineStr">
        <is>
          <t>C2</t>
        </is>
      </c>
      <c r="B4" s="10" t="inlineStr">
        <is>
          <t>Falta WiFi en una o más áreas de atención</t>
        </is>
      </c>
      <c r="C4" s="10" t="inlineStr">
        <is>
          <t>Cualquiera</t>
        </is>
      </c>
      <c r="D4" s="10" t="inlineStr">
        <is>
          <t>Puntaje del tramo − 10 (una sola vez): 30→20, 60→50, 80→70, 100→90</t>
        </is>
      </c>
      <c r="E4" s="10" t="inlineStr">
        <is>
          <t>OBSERVADO</t>
        </is>
      </c>
      <c r="F4" s="10" t="inlineStr">
        <is>
          <t>Implementar repetidor, mesh o access point en las zonas sin señal.</t>
        </is>
      </c>
      <c r="G4" s="10" t="inlineStr">
        <is>
          <t>R19</t>
        </is>
      </c>
    </row>
    <row r="5">
      <c r="A5" s="10" t="inlineStr">
        <is>
          <t>C3</t>
        </is>
      </c>
      <c r="B5" s="10" t="inlineStr">
        <is>
          <t>El plan no alcanza 200 Mbps por salón</t>
        </is>
      </c>
      <c r="C5" s="10" t="inlineStr">
        <is>
          <t>Menor a 200 × salones</t>
        </is>
      </c>
      <c r="D5" s="10" t="inlineStr">
        <is>
          <t>Se mantiene (más −10 si además falta WiFi)</t>
        </is>
      </c>
      <c r="E5" s="10" t="inlineStr">
        <is>
          <t>OBSERVADO</t>
        </is>
      </c>
      <c r="F5" s="10" t="inlineStr">
        <is>
          <t>Subir el plan a 200 Mbps por salón (mínimo ~500 Mbps si hay que repetir señal).</t>
        </is>
      </c>
      <c r="G5" s="10" t="inlineStr">
        <is>
          <t>R54</t>
        </is>
      </c>
    </row>
    <row r="6">
      <c r="A6" s="10" t="inlineStr">
        <is>
          <t>C4</t>
        </is>
      </c>
      <c r="B6" s="10" t="inlineStr">
        <is>
          <t>Hay cámaras de seguridad (P47 = Sí o el escáner E8 muestra cámaras)</t>
        </is>
      </c>
      <c r="C6" s="10" t="inlineStr">
        <is>
          <t>Menos de 1000 Mbps</t>
        </is>
      </c>
      <c r="D6" s="10" t="inlineStr">
        <is>
          <t>Se mantiene</t>
        </is>
      </c>
      <c r="E6" s="10" t="inlineStr">
        <is>
          <t>OBSERVADO</t>
        </is>
      </c>
      <c r="F6" s="10" t="inlineStr">
        <is>
          <t>Contratar un plan de 1000 Mbps y separar la red de cámaras de la red de PC, sistema de impresiones e impresoras de red.</t>
        </is>
      </c>
      <c r="G6" s="10" t="inlineStr">
        <is>
          <t>R53</t>
        </is>
      </c>
    </row>
    <row r="7">
      <c r="A7" s="10" t="inlineStr">
        <is>
          <t>C5</t>
        </is>
      </c>
      <c r="B7" s="10" t="inlineStr">
        <is>
          <t>Hay cámaras de seguridad</t>
        </is>
      </c>
      <c r="C7" s="10" t="inlineStr">
        <is>
          <t>1000 Mbps o más</t>
        </is>
      </c>
      <c r="D7" s="10" t="inlineStr">
        <is>
          <t>Se mantiene</t>
        </is>
      </c>
      <c r="E7" s="10" t="inlineStr">
        <is>
          <t>Según las demás reglas</t>
        </is>
      </c>
      <c r="F7" s="10" t="inlineStr">
        <is>
          <t>Separar la red de cámaras de la red de PC, sistema de impresiones e impresoras de red.</t>
        </is>
      </c>
      <c r="G7" s="10" t="inlineStr">
        <is>
          <t>R53</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5"/>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30" customWidth="1" min="2" max="2"/>
    <col width="80" customWidth="1" min="3" max="3"/>
    <col width="40" customWidth="1" min="4" max="4"/>
  </cols>
  <sheetData>
    <row r="1" ht="34" customHeight="1">
      <c r="A1" s="9" t="inlineStr">
        <is>
          <t>clave</t>
        </is>
      </c>
      <c r="B1" s="9" t="inlineStr">
        <is>
          <t>seccion_minuta</t>
        </is>
      </c>
      <c r="C1" s="9" t="inlineStr">
        <is>
          <t>texto</t>
        </is>
      </c>
      <c r="D1" s="9" t="inlineStr">
        <is>
          <t>cuando_se_muestra</t>
        </is>
      </c>
    </row>
    <row r="2">
      <c r="A2" s="10" t="inlineStr">
        <is>
          <t>AVISO_VIABILIDAD</t>
        </is>
      </c>
      <c r="B2" s="10" t="inlineStr">
        <is>
          <t>Siguientes acciones / Resumen ejecutivo</t>
        </is>
      </c>
      <c r="C2" s="10" t="inlineStr">
        <is>
          <t>Si no se siguen las recomendaciones de esta minuta, no es viable la implementación del punto de venta en el local.</t>
        </is>
      </c>
      <c r="D2" s="10" t="inlineStr">
        <is>
          <t>Siempre que la minuta tenga al menos una recomendación</t>
        </is>
      </c>
    </row>
    <row r="3">
      <c r="A3" s="10" t="inlineStr">
        <is>
          <t>ANTECEDENTES</t>
        </is>
      </c>
      <c r="B3" s="10" t="inlineStr">
        <is>
          <t>Antecedentes</t>
        </is>
      </c>
      <c r="C3" s="10" t="inlineStr">
        <is>
          <t>La visita se realiza para la implementación del punto de venta, donde el local se encuentra en estado de "{estado}". En la visita se realizarán acciones como validar los equipos tecnológicos y de red y el estado de los mismos, y se le recomendará una mejor infraestructura si lo necesitara.</t>
        </is>
      </c>
      <c r="D3" s="10" t="inlineStr">
        <is>
          <t>Siempre. {estado} = etiqueta de P08 (En operación, En obra, Por inaugurar, Ya cuenta con un sistema de punto de venta anterior) o el texto escrito en P08a si es Otro</t>
        </is>
      </c>
    </row>
    <row r="4">
      <c r="A4" s="10" t="inlineStr">
        <is>
          <t>METODO_PAGO</t>
        </is>
      </c>
      <c r="B4" s="10" t="inlineStr">
        <is>
          <t>Observaciones</t>
        </is>
      </c>
      <c r="C4" s="10" t="inlineStr">
        <is>
          <t>El método de pago que utilizan en el local es el siguiente: {métodos}.</t>
        </is>
      </c>
      <c r="D4" s="10" t="inlineStr">
        <is>
          <t>Si el técnico marcó Método de pago. {métodos} = Niubiz, Izipay, Culqi o el texto escrito en Otro (varios separados por coma y 'y')</t>
        </is>
      </c>
    </row>
    <row r="5">
      <c r="A5" s="10" t="inlineStr">
        <is>
          <t>ANEXOS_VIDEO</t>
        </is>
      </c>
      <c r="B5" s="10" t="inlineStr">
        <is>
          <t>Anexos</t>
        </is>
      </c>
      <c r="C5" s="10" t="inlineStr">
        <is>
          <t>Video del local: {enlace} ({zona}).</t>
        </is>
      </c>
      <c r="D5" s="10" t="inlineStr">
        <is>
          <t>Solo si el técnico pegó al menos un enlace. Si no hay enlaces, la sección Anexos NO aparece en el PDF (ni título ni 'No hay video')</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1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12" customWidth="1" min="2" max="2"/>
    <col width="80" customWidth="1" min="3" max="3"/>
    <col width="50" customWidth="1" min="4" max="4"/>
    <col width="9" customWidth="1" min="5" max="5"/>
    <col width="12" customWidth="1" min="6" max="6"/>
  </cols>
  <sheetData>
    <row r="1" ht="34" customHeight="1">
      <c r="A1" s="9" t="inlineStr">
        <is>
          <t>paso_id</t>
        </is>
      </c>
      <c r="B1" s="9" t="inlineStr">
        <is>
          <t>para</t>
        </is>
      </c>
      <c r="C1" s="9" t="inlineStr">
        <is>
          <t>texto_plantilla</t>
        </is>
      </c>
      <c r="D1" s="9" t="inlineStr">
        <is>
          <t>cuando_se_agrega</t>
        </is>
      </c>
      <c r="E1" s="9" t="inlineStr">
        <is>
          <t>regla_id</t>
        </is>
      </c>
      <c r="F1" s="9" t="inlineStr">
        <is>
          <t>minutas_que_lo_traen</t>
        </is>
      </c>
    </row>
    <row r="2">
      <c r="A2" s="10" t="inlineStr">
        <is>
          <t>S01</t>
        </is>
      </c>
      <c r="B2" s="10" t="inlineStr">
        <is>
          <t>ID</t>
        </is>
      </c>
      <c r="C2" s="10" t="inlineStr">
        <is>
          <t>Compartir la minuta de visita técnica.</t>
        </is>
      </c>
      <c r="D2" s="10" t="inlineStr">
        <is>
          <t>Siempre</t>
        </is>
      </c>
      <c r="E2" s="10" t="inlineStr">
        <is>
          <t>A01</t>
        </is>
      </c>
      <c r="F2" s="10" t="n">
        <v>36</v>
      </c>
    </row>
    <row r="3">
      <c r="A3" s="10" t="inlineStr">
        <is>
          <t>S02</t>
        </is>
      </c>
      <c r="B3" s="10" t="inlineStr">
        <is>
          <t>CLIENTE</t>
        </is>
      </c>
      <c r="C3" s="10" t="inlineStr">
        <is>
          <t>Confirmar la recepción de la minuta.</t>
        </is>
      </c>
      <c r="D3" s="10" t="inlineStr">
        <is>
          <t>Siempre</t>
        </is>
      </c>
      <c r="E3" s="10" t="inlineStr">
        <is>
          <t>A02</t>
        </is>
      </c>
      <c r="F3" s="10" t="n">
        <v>36</v>
      </c>
    </row>
    <row r="4">
      <c r="A4" s="10" t="inlineStr">
        <is>
          <t>S03</t>
        </is>
      </c>
      <c r="B4" s="10" t="inlineStr">
        <is>
          <t>CLIENTE</t>
        </is>
      </c>
      <c r="C4" s="10" t="inlineStr">
        <is>
          <t>Solicitar la cotización de los equipos recomendados: {lista de equipos con cantidad}.</t>
        </is>
      </c>
      <c r="D4" s="10" t="inlineStr">
        <is>
          <t>Hay equipos recomendados (sale de las recomendaciones y su equipo_id)</t>
        </is>
      </c>
      <c r="E4" s="10" t="inlineStr">
        <is>
          <t>A11</t>
        </is>
      </c>
      <c r="F4" s="10" t="n">
        <v>7</v>
      </c>
    </row>
    <row r="5">
      <c r="A5" s="10" t="inlineStr">
        <is>
          <t>S04</t>
        </is>
      </c>
      <c r="B5" s="10" t="inlineStr">
        <is>
          <t>ID</t>
        </is>
      </c>
      <c r="C5" s="10" t="inlineStr">
        <is>
          <t>Enviar la cotización de {equipos que vende ID}. Raspberry y Sunmi se cotizan con Desarrollo de Negocios.</t>
        </is>
      </c>
      <c r="D5" s="10" t="inlineStr">
        <is>
          <t>Se recomendó Raspberry, Sunmi u otro equipo que vende ID</t>
        </is>
      </c>
      <c r="E5" s="10" t="inlineStr">
        <is>
          <t>A03</t>
        </is>
      </c>
      <c r="F5" s="10" t="n">
        <v>6</v>
      </c>
    </row>
    <row r="6">
      <c r="A6" s="10" t="inlineStr">
        <is>
          <t>S05</t>
        </is>
      </c>
      <c r="B6" s="10" t="inlineStr">
        <is>
          <t>CLIENTE</t>
        </is>
      </c>
      <c r="C6" s="10" t="inlineStr">
        <is>
          <t>Enviar el documento con la carta (maestra de productos) y la información del negocio: serie de facturación, IGV y usuarios.</t>
        </is>
      </c>
      <c r="D6" s="10" t="inlineStr">
        <is>
          <t>Siempre (visita para implementar IDPos)</t>
        </is>
      </c>
      <c r="E6" s="10" t="inlineStr">
        <is>
          <t>A07</t>
        </is>
      </c>
      <c r="F6" s="10" t="n">
        <v>11</v>
      </c>
    </row>
    <row r="7">
      <c r="A7" s="10" t="inlineStr">
        <is>
          <t>S06</t>
        </is>
      </c>
      <c r="B7" s="10" t="inlineStr">
        <is>
          <t>CLIENTE</t>
        </is>
      </c>
      <c r="C7" s="10" t="inlineStr">
        <is>
          <t>Implementar {trabajos pendientes: puntos de red, energía, switch, impresora} y avisar a ID cuando estén listos.</t>
        </is>
      </c>
      <c r="D7" s="10" t="inlineStr">
        <is>
          <t>Hay trabajos pendientes del cliente</t>
        </is>
      </c>
      <c r="E7" s="10" t="inlineStr">
        <is>
          <t>A12</t>
        </is>
      </c>
      <c r="F7" s="10" t="n">
        <v>5</v>
      </c>
    </row>
    <row r="8">
      <c r="A8" s="10" t="inlineStr">
        <is>
          <t>S07</t>
        </is>
      </c>
      <c r="B8" s="10" t="inlineStr">
        <is>
          <t>ID</t>
        </is>
      </c>
      <c r="C8" s="10" t="inlineStr">
        <is>
          <t>Realizar una segunda visita técnica cuando estén implementados {equipos o trabajos pendientes}.</t>
        </is>
      </c>
      <c r="D8" s="10" t="inlineStr">
        <is>
          <t>Hay trabajos pendientes del cliente o P50 = Sí</t>
        </is>
      </c>
      <c r="E8" s="10" t="inlineStr">
        <is>
          <t>R26</t>
        </is>
      </c>
      <c r="F8" s="10" t="n">
        <v>3</v>
      </c>
    </row>
    <row r="9">
      <c r="A9" s="10" t="inlineStr">
        <is>
          <t>S08</t>
        </is>
      </c>
      <c r="B9" s="10" t="inlineStr">
        <is>
          <t>ID</t>
        </is>
      </c>
      <c r="C9" s="10" t="inlineStr">
        <is>
          <t>Dar inicio con IDPos el {fecha de inicio}.</t>
        </is>
      </c>
      <c r="D9" s="10" t="inlineStr">
        <is>
          <t>El técnico indica la fecha de inicio (P50b)</t>
        </is>
      </c>
      <c r="E9" s="10" t="inlineStr">
        <is>
          <t>A08</t>
        </is>
      </c>
      <c r="F9" s="10" t="n">
        <v>4</v>
      </c>
    </row>
    <row r="10">
      <c r="A10" s="10" t="inlineStr">
        <is>
          <t>S09</t>
        </is>
      </c>
      <c r="B10" s="10" t="inlineStr">
        <is>
          <t>ID</t>
        </is>
      </c>
      <c r="C10" s="10" t="inlineStr">
        <is>
          <t>Configurar el sistema de impresiones en {PC, laptop o Raspberry}.</t>
        </is>
      </c>
      <c r="D10" s="10" t="inlineStr">
        <is>
          <t>Hay controlador de impresiones por instalar</t>
        </is>
      </c>
      <c r="E10" s="10" t="inlineStr">
        <is>
          <t>A10</t>
        </is>
      </c>
      <c r="F10" s="10" t="n">
        <v>3</v>
      </c>
    </row>
    <row r="11">
      <c r="A11" s="10" t="inlineStr">
        <is>
          <t>S10</t>
        </is>
      </c>
      <c r="B11" s="10" t="inlineStr">
        <is>
          <t>ID</t>
        </is>
      </c>
      <c r="C11" s="10" t="inlineStr">
        <is>
          <t>Dar seguimiento a la instalación hasta la fecha de inicio.</t>
        </is>
      </c>
      <c r="D11" s="10" t="inlineStr">
        <is>
          <t>Estado del local = En obra o Por inaugurar</t>
        </is>
      </c>
      <c r="E11" s="10" t="inlineStr">
        <is>
          <t>A09</t>
        </is>
      </c>
      <c r="F11" s="10" t="n">
        <v>4</v>
      </c>
    </row>
    <row r="12">
      <c r="A12" s="10" t="inlineStr">
        <is>
          <t>S11</t>
        </is>
      </c>
      <c r="B12" s="10" t="inlineStr">
        <is>
          <t>CLIENTE o ID</t>
        </is>
      </c>
      <c r="C12" s="10" t="inlineStr">
        <is>
          <t>{Texto que escribe el técnico}</t>
        </is>
      </c>
      <c r="D12" s="10" t="inlineStr">
        <is>
          <t>El técnico agrega una acción (Otro)</t>
        </is>
      </c>
      <c r="E12" s="10" t="inlineStr"/>
      <c r="F12" s="10" t="n">
        <v>0</v>
      </c>
    </row>
    <row r="14">
      <c r="A14" s="16" t="inlineStr">
        <is>
          <t>Cómo funciona</t>
        </is>
      </c>
    </row>
    <row r="15">
      <c r="A15" s="17" t="inlineStr">
        <is>
          <t>1</t>
        </is>
      </c>
      <c r="C15" s="17" t="inlineStr">
        <is>
          <t>Al terminar el chat, el asistente arma la lista de pasos a seguir separada en 'Por parte del cliente' y 'Por parte de ID' (tabla kb_accion_siguiente).</t>
        </is>
      </c>
    </row>
    <row r="16">
      <c r="A16" s="17" t="inlineStr">
        <is>
          <t>2</t>
        </is>
      </c>
      <c r="C16" s="17" t="inlineStr">
        <is>
          <t>Los equipos de la cotización salen de las recomendaciones (equipo_id) con nombre y cantidad: ej. 'kit Raspberry, switch de 8 puertos, TP-Link con chip'.</t>
        </is>
      </c>
    </row>
    <row r="17">
      <c r="A17" s="17" t="inlineStr">
        <is>
          <t>3</t>
        </is>
      </c>
      <c r="C17" s="17" t="inlineStr">
        <is>
          <t>El técnico puede quitar un paso, editar su texto o agregar uno nuevo (elige Cliente o ID y lo escribe). Se guarda igual que la regla general de 'Otro'.</t>
        </is>
      </c>
    </row>
    <row r="18">
      <c r="A18" s="17" t="inlineStr">
        <is>
          <t>4</t>
        </is>
      </c>
      <c r="C18" s="17" t="inlineStr">
        <is>
          <t>Reemplaza a P52 'Acuerdos y siguientes acciones' (texto libre).</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D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0" customWidth="1" min="2" max="2"/>
    <col width="18" customWidth="1" min="3" max="3"/>
    <col width="50" customWidth="1" min="4" max="4"/>
  </cols>
  <sheetData>
    <row r="1" ht="34" customHeight="1">
      <c r="A1" s="9" t="inlineStr">
        <is>
          <t>opcion</t>
        </is>
      </c>
      <c r="B1" s="9" t="inlineStr">
        <is>
          <t>etiqueta</t>
        </is>
      </c>
      <c r="C1" s="9" t="inlineStr">
        <is>
          <t>tipo_respuesta</t>
        </is>
      </c>
      <c r="D1" s="9" t="inlineStr">
        <is>
          <t>valores</t>
        </is>
      </c>
    </row>
    <row r="2">
      <c r="A2" s="10" t="inlineStr">
        <is>
          <t>OBS_TECNICO</t>
        </is>
      </c>
      <c r="B2" s="10" t="inlineStr">
        <is>
          <t>Observaciones del técnico</t>
        </is>
      </c>
      <c r="C2" s="10" t="inlineStr">
        <is>
          <t>Texto</t>
        </is>
      </c>
      <c r="D2" s="10" t="inlineStr">
        <is>
          <t>—</t>
        </is>
      </c>
    </row>
    <row r="3">
      <c r="A3" s="10" t="inlineStr">
        <is>
          <t>SERIE_FACTURACION</t>
        </is>
      </c>
      <c r="B3" s="10" t="inlineStr">
        <is>
          <t>Serie de facturación</t>
        </is>
      </c>
      <c r="C3" s="10" t="inlineStr">
        <is>
          <t>Texto</t>
        </is>
      </c>
      <c r="D3" s="10" t="inlineStr">
        <is>
          <t>—</t>
        </is>
      </c>
    </row>
    <row r="4">
      <c r="A4" s="10" t="inlineStr">
        <is>
          <t>VIABILIDAD</t>
        </is>
      </c>
      <c r="B4" s="10" t="inlineStr">
        <is>
          <t>¿El cliente acepta la recomendación?</t>
        </is>
      </c>
      <c r="C4" s="10" t="inlineStr">
        <is>
          <t>Opción</t>
        </is>
      </c>
      <c r="D4" s="10" t="inlineStr">
        <is>
          <t>Sí · No · Otro (escribir)</t>
        </is>
      </c>
    </row>
    <row r="5">
      <c r="A5" s="10" t="inlineStr">
        <is>
          <t>METODO_PAGO</t>
        </is>
      </c>
      <c r="B5" s="10" t="inlineStr">
        <is>
          <t>Método de pago</t>
        </is>
      </c>
      <c r="C5" s="10" t="inlineStr">
        <is>
          <t>Selección múltiple</t>
        </is>
      </c>
      <c r="D5" s="10" t="inlineStr">
        <is>
          <t>Niubiz · Izipay · Culqi · Otro (escribir cuál). En la minuta: 'El método de pago que utilizan en el local es el siguiente: …'</t>
        </is>
      </c>
    </row>
    <row r="6">
      <c r="A6" s="10" t="inlineStr">
        <is>
          <t>OTRO</t>
        </is>
      </c>
      <c r="B6" s="10" t="inlineStr">
        <is>
          <t>Otro</t>
        </is>
      </c>
      <c r="C6" s="10" t="inlineStr">
        <is>
          <t>Texto</t>
        </is>
      </c>
      <c r="D6" s="10" t="inlineStr">
        <is>
          <t>El técnico escribe el nombre y el contenido</t>
        </is>
      </c>
    </row>
    <row r="8">
      <c r="A8" s="16" t="inlineStr">
        <is>
          <t>Orden de la minuta</t>
        </is>
      </c>
    </row>
    <row r="9">
      <c r="A9" s="17" t="n">
        <v>1</v>
      </c>
      <c r="B9" s="17" t="inlineStr">
        <is>
          <t>Datos generales</t>
        </is>
      </c>
    </row>
    <row r="10">
      <c r="A10" s="17" t="n">
        <v>2</v>
      </c>
      <c r="B10" s="17" t="inlineStr">
        <is>
          <t>Antecedentes</t>
        </is>
      </c>
    </row>
    <row r="11">
      <c r="A11" s="17" t="n">
        <v>3</v>
      </c>
      <c r="B11" s="17" t="inlineStr">
        <is>
          <t>Desarrollo y hallazgos</t>
        </is>
      </c>
    </row>
    <row r="12">
      <c r="A12" s="17" t="n">
        <v>4</v>
      </c>
      <c r="B12" s="17" t="inlineStr">
        <is>
          <t>Análisis (puntajes)</t>
        </is>
      </c>
    </row>
    <row r="13">
      <c r="A13" s="17" t="n">
        <v>5</v>
      </c>
      <c r="B13" s="17" t="inlineStr">
        <is>
          <t>Recomendaciones</t>
        </is>
      </c>
    </row>
    <row r="14">
      <c r="A14" s="17" t="n">
        <v>6</v>
      </c>
      <c r="B14" s="17" t="inlineStr">
        <is>
          <t>Observaciones (nuevo)</t>
        </is>
      </c>
    </row>
    <row r="15">
      <c r="A15" s="17" t="n">
        <v>7</v>
      </c>
      <c r="B15" s="17" t="inlineStr">
        <is>
          <t>Aviso de viabilidad</t>
        </is>
      </c>
    </row>
    <row r="16">
      <c r="A16" s="17" t="n">
        <v>8</v>
      </c>
      <c r="B16" s="17" t="inlineStr">
        <is>
          <t>Pasos a seguir: cliente / ID (editable)</t>
        </is>
      </c>
    </row>
    <row r="17">
      <c r="A17" s="17" t="n">
        <v>9</v>
      </c>
      <c r="B17" s="17" t="inlineStr">
        <is>
          <t>Anexos: enlaces de video (solo si hay enlaces)</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D15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0" customWidth="1" min="2" max="2"/>
    <col width="40" customWidth="1" min="3" max="3"/>
    <col width="50" customWidth="1" min="4" max="4"/>
  </cols>
  <sheetData>
    <row r="1" ht="34" customHeight="1">
      <c r="A1" s="9" t="inlineStr">
        <is>
          <t>minuta_id</t>
        </is>
      </c>
      <c r="B1" s="9" t="inlineStr">
        <is>
          <t>opcion</t>
        </is>
      </c>
      <c r="C1" s="9" t="inlineStr">
        <is>
          <t>valor</t>
        </is>
      </c>
      <c r="D1" s="9" t="inlineStr">
        <is>
          <t>fuente_en_minuta</t>
        </is>
      </c>
    </row>
    <row r="2">
      <c r="A2" s="10" t="inlineStr">
        <is>
          <t>MH-021</t>
        </is>
      </c>
      <c r="B2" s="10" t="inlineStr">
        <is>
          <t>METODO_PAGO</t>
        </is>
      </c>
      <c r="C2" s="10" t="inlineStr">
        <is>
          <t>Izipay</t>
        </is>
      </c>
      <c r="D2" s="10" t="inlineStr">
        <is>
          <t>Sunmis integrados con Izipay</t>
        </is>
      </c>
    </row>
    <row r="3">
      <c r="A3" s="10" t="inlineStr">
        <is>
          <t>MH-034</t>
        </is>
      </c>
      <c r="B3" s="10" t="inlineStr">
        <is>
          <t>VIABILIDAD</t>
        </is>
      </c>
      <c r="C3" s="10" t="inlineStr">
        <is>
          <t>NO</t>
        </is>
      </c>
      <c r="D3" s="10" t="inlineStr">
        <is>
          <t>No desean obtener el Raspberry</t>
        </is>
      </c>
    </row>
    <row r="4">
      <c r="A4" s="10" t="inlineStr">
        <is>
          <t>MH-043</t>
        </is>
      </c>
      <c r="B4" s="10" t="inlineStr">
        <is>
          <t>METODO_PAGO</t>
        </is>
      </c>
      <c r="C4" s="10" t="inlineStr">
        <is>
          <t>Niubiz</t>
        </is>
      </c>
      <c r="D4" s="10" t="inlineStr">
        <is>
          <t>Niubiz: todas las tarjetas y Puntos Vida BBVA</t>
        </is>
      </c>
    </row>
    <row r="5">
      <c r="A5" s="10" t="inlineStr">
        <is>
          <t>MH-044</t>
        </is>
      </c>
      <c r="B5" s="10" t="inlineStr">
        <is>
          <t>METODO_PAGO</t>
        </is>
      </c>
      <c r="C5" s="10" t="inlineStr">
        <is>
          <t>Culqi</t>
        </is>
      </c>
      <c r="D5" s="10" t="inlineStr">
        <is>
          <t>Método de pago: Culqi</t>
        </is>
      </c>
    </row>
    <row r="6">
      <c r="A6" s="10" t="inlineStr">
        <is>
          <t>MH-019</t>
        </is>
      </c>
      <c r="B6" s="10" t="inlineStr">
        <is>
          <t>SERIE_FACTURACION</t>
        </is>
      </c>
      <c r="C6" s="10" t="inlineStr">
        <is>
          <t>Pendiente: el cliente la compartirá</t>
        </is>
      </c>
      <c r="D6" s="10" t="inlineStr">
        <is>
          <t>Siguientes acciones</t>
        </is>
      </c>
    </row>
    <row r="7">
      <c r="A7" s="13" t="n"/>
      <c r="B7" s="13" t="n"/>
      <c r="C7" s="13" t="n"/>
      <c r="D7" s="13" t="n"/>
    </row>
    <row r="8">
      <c r="A8" s="13" t="n"/>
      <c r="B8" s="13" t="n"/>
      <c r="C8" s="13" t="n"/>
      <c r="D8" s="13" t="n"/>
    </row>
    <row r="9">
      <c r="A9" s="13" t="n"/>
      <c r="B9" s="13" t="n"/>
      <c r="C9" s="13" t="n"/>
      <c r="D9" s="13" t="n"/>
    </row>
    <row r="10">
      <c r="A10" s="13" t="n"/>
      <c r="B10" s="13" t="n"/>
      <c r="C10" s="13" t="n"/>
      <c r="D10" s="13" t="n"/>
    </row>
    <row r="11">
      <c r="A11" s="13" t="n"/>
      <c r="B11" s="13" t="n"/>
      <c r="C11" s="13" t="n"/>
      <c r="D11" s="13" t="n"/>
    </row>
    <row r="12">
      <c r="A12" s="13" t="n"/>
      <c r="B12" s="13" t="n"/>
      <c r="C12" s="13" t="n"/>
      <c r="D12" s="13" t="n"/>
    </row>
    <row r="13">
      <c r="A13" s="13" t="n"/>
      <c r="B13" s="13" t="n"/>
      <c r="C13" s="13" t="n"/>
      <c r="D13" s="13" t="n"/>
    </row>
    <row r="14">
      <c r="A14" s="13" t="n"/>
      <c r="B14" s="13" t="n"/>
      <c r="C14" s="13" t="n"/>
      <c r="D14" s="13" t="n"/>
    </row>
    <row r="15">
      <c r="A15" s="13" t="n"/>
      <c r="B15" s="13" t="n"/>
      <c r="C15" s="13" t="n"/>
      <c r="D15" s="13" t="n"/>
    </row>
    <row r="16">
      <c r="A16" s="13" t="n"/>
      <c r="B16" s="13" t="n"/>
      <c r="C16" s="13" t="n"/>
      <c r="D16" s="13" t="n"/>
    </row>
    <row r="17">
      <c r="A17" s="13" t="n"/>
      <c r="B17" s="13" t="n"/>
      <c r="C17" s="13" t="n"/>
      <c r="D17" s="13" t="n"/>
    </row>
    <row r="18">
      <c r="A18" s="13" t="n"/>
      <c r="B18" s="13" t="n"/>
      <c r="C18" s="13" t="n"/>
      <c r="D18" s="13" t="n"/>
    </row>
    <row r="19">
      <c r="A19" s="13" t="n"/>
      <c r="B19" s="13" t="n"/>
      <c r="C19" s="13" t="n"/>
      <c r="D19" s="13" t="n"/>
    </row>
    <row r="20">
      <c r="A20" s="13" t="n"/>
      <c r="B20" s="13" t="n"/>
      <c r="C20" s="13" t="n"/>
      <c r="D20" s="13" t="n"/>
    </row>
    <row r="21">
      <c r="A21" s="13" t="n"/>
      <c r="B21" s="13" t="n"/>
      <c r="C21" s="13" t="n"/>
      <c r="D21" s="13" t="n"/>
    </row>
    <row r="22">
      <c r="A22" s="13" t="n"/>
      <c r="B22" s="13" t="n"/>
      <c r="C22" s="13" t="n"/>
      <c r="D22" s="13" t="n"/>
    </row>
    <row r="23">
      <c r="A23" s="13" t="n"/>
      <c r="B23" s="13" t="n"/>
      <c r="C23" s="13" t="n"/>
      <c r="D23" s="13" t="n"/>
    </row>
    <row r="24">
      <c r="A24" s="13" t="n"/>
      <c r="B24" s="13" t="n"/>
      <c r="C24" s="13" t="n"/>
      <c r="D24" s="13" t="n"/>
    </row>
    <row r="25">
      <c r="A25" s="13" t="n"/>
      <c r="B25" s="13" t="n"/>
      <c r="C25" s="13" t="n"/>
      <c r="D25" s="13" t="n"/>
    </row>
    <row r="26">
      <c r="A26" s="13" t="n"/>
      <c r="B26" s="13" t="n"/>
      <c r="C26" s="13" t="n"/>
      <c r="D26" s="13" t="n"/>
    </row>
    <row r="27">
      <c r="A27" s="13" t="n"/>
      <c r="B27" s="13" t="n"/>
      <c r="C27" s="13" t="n"/>
      <c r="D27" s="13" t="n"/>
    </row>
    <row r="28">
      <c r="A28" s="13" t="n"/>
      <c r="B28" s="13" t="n"/>
      <c r="C28" s="13" t="n"/>
      <c r="D28" s="13" t="n"/>
    </row>
    <row r="29">
      <c r="A29" s="13" t="n"/>
      <c r="B29" s="13" t="n"/>
      <c r="C29" s="13" t="n"/>
      <c r="D29" s="13" t="n"/>
    </row>
    <row r="30">
      <c r="A30" s="13" t="n"/>
      <c r="B30" s="13" t="n"/>
      <c r="C30" s="13" t="n"/>
      <c r="D30" s="13" t="n"/>
    </row>
    <row r="31">
      <c r="A31" s="13" t="n"/>
      <c r="B31" s="13" t="n"/>
      <c r="C31" s="13" t="n"/>
      <c r="D31" s="13" t="n"/>
    </row>
    <row r="32">
      <c r="A32" s="13" t="n"/>
      <c r="B32" s="13" t="n"/>
      <c r="C32" s="13" t="n"/>
      <c r="D32" s="13" t="n"/>
    </row>
    <row r="33">
      <c r="A33" s="13" t="n"/>
      <c r="B33" s="13" t="n"/>
      <c r="C33" s="13" t="n"/>
      <c r="D33" s="13" t="n"/>
    </row>
    <row r="34">
      <c r="A34" s="13" t="n"/>
      <c r="B34" s="13" t="n"/>
      <c r="C34" s="13" t="n"/>
      <c r="D34" s="13" t="n"/>
    </row>
    <row r="35">
      <c r="A35" s="13" t="n"/>
      <c r="B35" s="13" t="n"/>
      <c r="C35" s="13" t="n"/>
      <c r="D35" s="13" t="n"/>
    </row>
    <row r="36">
      <c r="A36" s="13" t="n"/>
      <c r="B36" s="13" t="n"/>
      <c r="C36" s="13" t="n"/>
      <c r="D36" s="13" t="n"/>
    </row>
    <row r="37">
      <c r="A37" s="13" t="n"/>
      <c r="B37" s="13" t="n"/>
      <c r="C37" s="13" t="n"/>
      <c r="D37" s="13" t="n"/>
    </row>
    <row r="38">
      <c r="A38" s="13" t="n"/>
      <c r="B38" s="13" t="n"/>
      <c r="C38" s="13" t="n"/>
      <c r="D38" s="13" t="n"/>
    </row>
    <row r="39">
      <c r="A39" s="13" t="n"/>
      <c r="B39" s="13" t="n"/>
      <c r="C39" s="13" t="n"/>
      <c r="D39" s="13" t="n"/>
    </row>
    <row r="40">
      <c r="A40" s="13" t="n"/>
      <c r="B40" s="13" t="n"/>
      <c r="C40" s="13" t="n"/>
      <c r="D40" s="13" t="n"/>
    </row>
    <row r="41">
      <c r="A41" s="13" t="n"/>
      <c r="B41" s="13" t="n"/>
      <c r="C41" s="13" t="n"/>
      <c r="D41" s="13" t="n"/>
    </row>
    <row r="42">
      <c r="A42" s="13" t="n"/>
      <c r="B42" s="13" t="n"/>
      <c r="C42" s="13" t="n"/>
      <c r="D42" s="13" t="n"/>
    </row>
    <row r="43">
      <c r="A43" s="13" t="n"/>
      <c r="B43" s="13" t="n"/>
      <c r="C43" s="13" t="n"/>
      <c r="D43" s="13" t="n"/>
    </row>
    <row r="44">
      <c r="A44" s="13" t="n"/>
      <c r="B44" s="13" t="n"/>
      <c r="C44" s="13" t="n"/>
      <c r="D44" s="13" t="n"/>
    </row>
    <row r="45">
      <c r="A45" s="13" t="n"/>
      <c r="B45" s="13" t="n"/>
      <c r="C45" s="13" t="n"/>
      <c r="D45" s="13" t="n"/>
    </row>
    <row r="46">
      <c r="A46" s="13" t="n"/>
      <c r="B46" s="13" t="n"/>
      <c r="C46" s="13" t="n"/>
      <c r="D46" s="13" t="n"/>
    </row>
    <row r="47">
      <c r="A47" s="13" t="n"/>
      <c r="B47" s="13" t="n"/>
      <c r="C47" s="13" t="n"/>
      <c r="D47" s="13" t="n"/>
    </row>
    <row r="48">
      <c r="A48" s="13" t="n"/>
      <c r="B48" s="13" t="n"/>
      <c r="C48" s="13" t="n"/>
      <c r="D48" s="13" t="n"/>
    </row>
    <row r="49">
      <c r="A49" s="13" t="n"/>
      <c r="B49" s="13" t="n"/>
      <c r="C49" s="13" t="n"/>
      <c r="D49" s="13" t="n"/>
    </row>
    <row r="50">
      <c r="A50" s="13" t="n"/>
      <c r="B50" s="13" t="n"/>
      <c r="C50" s="13" t="n"/>
      <c r="D50" s="13" t="n"/>
    </row>
    <row r="51">
      <c r="A51" s="13" t="n"/>
      <c r="B51" s="13" t="n"/>
      <c r="C51" s="13" t="n"/>
      <c r="D51" s="13" t="n"/>
    </row>
    <row r="52">
      <c r="A52" s="13" t="n"/>
      <c r="B52" s="13" t="n"/>
      <c r="C52" s="13" t="n"/>
      <c r="D52" s="13" t="n"/>
    </row>
    <row r="53">
      <c r="A53" s="13" t="n"/>
      <c r="B53" s="13" t="n"/>
      <c r="C53" s="13" t="n"/>
      <c r="D53" s="13" t="n"/>
    </row>
    <row r="54">
      <c r="A54" s="13" t="n"/>
      <c r="B54" s="13" t="n"/>
      <c r="C54" s="13" t="n"/>
      <c r="D54" s="13" t="n"/>
    </row>
    <row r="55">
      <c r="A55" s="13" t="n"/>
      <c r="B55" s="13" t="n"/>
      <c r="C55" s="13" t="n"/>
      <c r="D55" s="13" t="n"/>
    </row>
    <row r="56">
      <c r="A56" s="13" t="n"/>
      <c r="B56" s="13" t="n"/>
      <c r="C56" s="13" t="n"/>
      <c r="D56" s="13" t="n"/>
    </row>
    <row r="57">
      <c r="A57" s="13" t="n"/>
      <c r="B57" s="13" t="n"/>
      <c r="C57" s="13" t="n"/>
      <c r="D57" s="13" t="n"/>
    </row>
    <row r="58">
      <c r="A58" s="13" t="n"/>
      <c r="B58" s="13" t="n"/>
      <c r="C58" s="13" t="n"/>
      <c r="D58" s="13" t="n"/>
    </row>
    <row r="59">
      <c r="A59" s="13" t="n"/>
      <c r="B59" s="13" t="n"/>
      <c r="C59" s="13" t="n"/>
      <c r="D59" s="13" t="n"/>
    </row>
    <row r="60">
      <c r="A60" s="13" t="n"/>
      <c r="B60" s="13" t="n"/>
      <c r="C60" s="13" t="n"/>
      <c r="D60" s="13" t="n"/>
    </row>
    <row r="61">
      <c r="A61" s="13" t="n"/>
      <c r="B61" s="13" t="n"/>
      <c r="C61" s="13" t="n"/>
      <c r="D61" s="13" t="n"/>
    </row>
    <row r="62">
      <c r="A62" s="13" t="n"/>
      <c r="B62" s="13" t="n"/>
      <c r="C62" s="13" t="n"/>
      <c r="D62" s="13" t="n"/>
    </row>
    <row r="63">
      <c r="A63" s="13" t="n"/>
      <c r="B63" s="13" t="n"/>
      <c r="C63" s="13" t="n"/>
      <c r="D63" s="13" t="n"/>
    </row>
    <row r="64">
      <c r="A64" s="13" t="n"/>
      <c r="B64" s="13" t="n"/>
      <c r="C64" s="13" t="n"/>
      <c r="D64" s="13" t="n"/>
    </row>
    <row r="65">
      <c r="A65" s="13" t="n"/>
      <c r="B65" s="13" t="n"/>
      <c r="C65" s="13" t="n"/>
      <c r="D65" s="13" t="n"/>
    </row>
    <row r="66">
      <c r="A66" s="13" t="n"/>
      <c r="B66" s="13" t="n"/>
      <c r="C66" s="13" t="n"/>
      <c r="D66" s="13" t="n"/>
    </row>
    <row r="67">
      <c r="A67" s="13" t="n"/>
      <c r="B67" s="13" t="n"/>
      <c r="C67" s="13" t="n"/>
      <c r="D67" s="13" t="n"/>
    </row>
    <row r="68">
      <c r="A68" s="13" t="n"/>
      <c r="B68" s="13" t="n"/>
      <c r="C68" s="13" t="n"/>
      <c r="D68" s="13" t="n"/>
    </row>
    <row r="69">
      <c r="A69" s="13" t="n"/>
      <c r="B69" s="13" t="n"/>
      <c r="C69" s="13" t="n"/>
      <c r="D69" s="13" t="n"/>
    </row>
    <row r="70">
      <c r="A70" s="13" t="n"/>
      <c r="B70" s="13" t="n"/>
      <c r="C70" s="13" t="n"/>
      <c r="D70" s="13" t="n"/>
    </row>
    <row r="71">
      <c r="A71" s="13" t="n"/>
      <c r="B71" s="13" t="n"/>
      <c r="C71" s="13" t="n"/>
      <c r="D71" s="13" t="n"/>
    </row>
    <row r="72">
      <c r="A72" s="13" t="n"/>
      <c r="B72" s="13" t="n"/>
      <c r="C72" s="13" t="n"/>
      <c r="D72" s="13" t="n"/>
    </row>
    <row r="73">
      <c r="A73" s="13" t="n"/>
      <c r="B73" s="13" t="n"/>
      <c r="C73" s="13" t="n"/>
      <c r="D73" s="13" t="n"/>
    </row>
    <row r="74">
      <c r="A74" s="13" t="n"/>
      <c r="B74" s="13" t="n"/>
      <c r="C74" s="13" t="n"/>
      <c r="D74" s="13" t="n"/>
    </row>
    <row r="75">
      <c r="A75" s="13" t="n"/>
      <c r="B75" s="13" t="n"/>
      <c r="C75" s="13" t="n"/>
      <c r="D75" s="13" t="n"/>
    </row>
    <row r="76">
      <c r="A76" s="13" t="n"/>
      <c r="B76" s="13" t="n"/>
      <c r="C76" s="13" t="n"/>
      <c r="D76" s="13" t="n"/>
    </row>
    <row r="77">
      <c r="A77" s="13" t="n"/>
      <c r="B77" s="13" t="n"/>
      <c r="C77" s="13" t="n"/>
      <c r="D77" s="13" t="n"/>
    </row>
    <row r="78">
      <c r="A78" s="13" t="n"/>
      <c r="B78" s="13" t="n"/>
      <c r="C78" s="13" t="n"/>
      <c r="D78" s="13" t="n"/>
    </row>
    <row r="79">
      <c r="A79" s="13" t="n"/>
      <c r="B79" s="13" t="n"/>
      <c r="C79" s="13" t="n"/>
      <c r="D79" s="13" t="n"/>
    </row>
    <row r="80">
      <c r="A80" s="13" t="n"/>
      <c r="B80" s="13" t="n"/>
      <c r="C80" s="13" t="n"/>
      <c r="D80" s="13" t="n"/>
    </row>
    <row r="81">
      <c r="A81" s="13" t="n"/>
      <c r="B81" s="13" t="n"/>
      <c r="C81" s="13" t="n"/>
      <c r="D81" s="13" t="n"/>
    </row>
    <row r="82">
      <c r="A82" s="13" t="n"/>
      <c r="B82" s="13" t="n"/>
      <c r="C82" s="13" t="n"/>
      <c r="D82" s="13" t="n"/>
    </row>
    <row r="83">
      <c r="A83" s="13" t="n"/>
      <c r="B83" s="13" t="n"/>
      <c r="C83" s="13" t="n"/>
      <c r="D83" s="13" t="n"/>
    </row>
    <row r="84">
      <c r="A84" s="13" t="n"/>
      <c r="B84" s="13" t="n"/>
      <c r="C84" s="13" t="n"/>
      <c r="D84" s="13" t="n"/>
    </row>
    <row r="85">
      <c r="A85" s="13" t="n"/>
      <c r="B85" s="13" t="n"/>
      <c r="C85" s="13" t="n"/>
      <c r="D85" s="13" t="n"/>
    </row>
    <row r="86">
      <c r="A86" s="13" t="n"/>
      <c r="B86" s="13" t="n"/>
      <c r="C86" s="13" t="n"/>
      <c r="D86" s="13" t="n"/>
    </row>
    <row r="87">
      <c r="A87" s="13" t="n"/>
      <c r="B87" s="13" t="n"/>
      <c r="C87" s="13" t="n"/>
      <c r="D87" s="13" t="n"/>
    </row>
    <row r="88">
      <c r="A88" s="13" t="n"/>
      <c r="B88" s="13" t="n"/>
      <c r="C88" s="13" t="n"/>
      <c r="D88" s="13" t="n"/>
    </row>
    <row r="89">
      <c r="A89" s="13" t="n"/>
      <c r="B89" s="13" t="n"/>
      <c r="C89" s="13" t="n"/>
      <c r="D89" s="13" t="n"/>
    </row>
    <row r="90">
      <c r="A90" s="13" t="n"/>
      <c r="B90" s="13" t="n"/>
      <c r="C90" s="13" t="n"/>
      <c r="D90" s="13" t="n"/>
    </row>
    <row r="91">
      <c r="A91" s="13" t="n"/>
      <c r="B91" s="13" t="n"/>
      <c r="C91" s="13" t="n"/>
      <c r="D91" s="13" t="n"/>
    </row>
    <row r="92">
      <c r="A92" s="13" t="n"/>
      <c r="B92" s="13" t="n"/>
      <c r="C92" s="13" t="n"/>
      <c r="D92" s="13" t="n"/>
    </row>
    <row r="93">
      <c r="A93" s="13" t="n"/>
      <c r="B93" s="13" t="n"/>
      <c r="C93" s="13" t="n"/>
      <c r="D93" s="13" t="n"/>
    </row>
    <row r="94">
      <c r="A94" s="13" t="n"/>
      <c r="B94" s="13" t="n"/>
      <c r="C94" s="13" t="n"/>
      <c r="D94" s="13" t="n"/>
    </row>
    <row r="95">
      <c r="A95" s="13" t="n"/>
      <c r="B95" s="13" t="n"/>
      <c r="C95" s="13" t="n"/>
      <c r="D95" s="13" t="n"/>
    </row>
    <row r="96">
      <c r="A96" s="13" t="n"/>
      <c r="B96" s="13" t="n"/>
      <c r="C96" s="13" t="n"/>
      <c r="D96" s="13" t="n"/>
    </row>
    <row r="97">
      <c r="A97" s="13" t="n"/>
      <c r="B97" s="13" t="n"/>
      <c r="C97" s="13" t="n"/>
      <c r="D97" s="13" t="n"/>
    </row>
    <row r="98">
      <c r="A98" s="13" t="n"/>
      <c r="B98" s="13" t="n"/>
      <c r="C98" s="13" t="n"/>
      <c r="D98" s="13" t="n"/>
    </row>
    <row r="99">
      <c r="A99" s="13" t="n"/>
      <c r="B99" s="13" t="n"/>
      <c r="C99" s="13" t="n"/>
      <c r="D99" s="13" t="n"/>
    </row>
    <row r="100">
      <c r="A100" s="13" t="n"/>
      <c r="B100" s="13" t="n"/>
      <c r="C100" s="13" t="n"/>
      <c r="D100" s="13" t="n"/>
    </row>
    <row r="101">
      <c r="A101" s="13" t="n"/>
      <c r="B101" s="13" t="n"/>
      <c r="C101" s="13" t="n"/>
      <c r="D101" s="13" t="n"/>
    </row>
    <row r="102">
      <c r="A102" s="13" t="n"/>
      <c r="B102" s="13" t="n"/>
      <c r="C102" s="13" t="n"/>
      <c r="D102" s="13" t="n"/>
    </row>
    <row r="103">
      <c r="A103" s="13" t="n"/>
      <c r="B103" s="13" t="n"/>
      <c r="C103" s="13" t="n"/>
      <c r="D103" s="13" t="n"/>
    </row>
    <row r="104">
      <c r="A104" s="13" t="n"/>
      <c r="B104" s="13" t="n"/>
      <c r="C104" s="13" t="n"/>
      <c r="D104" s="13" t="n"/>
    </row>
    <row r="105">
      <c r="A105" s="13" t="n"/>
      <c r="B105" s="13" t="n"/>
      <c r="C105" s="13" t="n"/>
      <c r="D105" s="13" t="n"/>
    </row>
    <row r="106">
      <c r="A106" s="13" t="n"/>
      <c r="B106" s="13" t="n"/>
      <c r="C106" s="13" t="n"/>
      <c r="D106" s="13" t="n"/>
    </row>
    <row r="107">
      <c r="A107" s="13" t="n"/>
      <c r="B107" s="13" t="n"/>
      <c r="C107" s="13" t="n"/>
      <c r="D107" s="13" t="n"/>
    </row>
    <row r="108">
      <c r="A108" s="13" t="n"/>
      <c r="B108" s="13" t="n"/>
      <c r="C108" s="13" t="n"/>
      <c r="D108" s="13" t="n"/>
    </row>
    <row r="109">
      <c r="A109" s="13" t="n"/>
      <c r="B109" s="13" t="n"/>
      <c r="C109" s="13" t="n"/>
      <c r="D109" s="13" t="n"/>
    </row>
    <row r="110">
      <c r="A110" s="13" t="n"/>
      <c r="B110" s="13" t="n"/>
      <c r="C110" s="13" t="n"/>
      <c r="D110" s="13" t="n"/>
    </row>
    <row r="111">
      <c r="A111" s="13" t="n"/>
      <c r="B111" s="13" t="n"/>
      <c r="C111" s="13" t="n"/>
      <c r="D111" s="13" t="n"/>
    </row>
    <row r="112">
      <c r="A112" s="13" t="n"/>
      <c r="B112" s="13" t="n"/>
      <c r="C112" s="13" t="n"/>
      <c r="D112" s="13" t="n"/>
    </row>
    <row r="113">
      <c r="A113" s="13" t="n"/>
      <c r="B113" s="13" t="n"/>
      <c r="C113" s="13" t="n"/>
      <c r="D113" s="13" t="n"/>
    </row>
    <row r="114">
      <c r="A114" s="13" t="n"/>
      <c r="B114" s="13" t="n"/>
      <c r="C114" s="13" t="n"/>
      <c r="D114" s="13" t="n"/>
    </row>
    <row r="115">
      <c r="A115" s="13" t="n"/>
      <c r="B115" s="13" t="n"/>
      <c r="C115" s="13" t="n"/>
      <c r="D115" s="13" t="n"/>
    </row>
    <row r="116">
      <c r="A116" s="13" t="n"/>
      <c r="B116" s="13" t="n"/>
      <c r="C116" s="13" t="n"/>
      <c r="D116" s="13" t="n"/>
    </row>
    <row r="117">
      <c r="A117" s="13" t="n"/>
      <c r="B117" s="13" t="n"/>
      <c r="C117" s="13" t="n"/>
      <c r="D117" s="13" t="n"/>
    </row>
    <row r="118">
      <c r="A118" s="13" t="n"/>
      <c r="B118" s="13" t="n"/>
      <c r="C118" s="13" t="n"/>
      <c r="D118" s="13" t="n"/>
    </row>
    <row r="119">
      <c r="A119" s="13" t="n"/>
      <c r="B119" s="13" t="n"/>
      <c r="C119" s="13" t="n"/>
      <c r="D119" s="13" t="n"/>
    </row>
    <row r="120">
      <c r="A120" s="13" t="n"/>
      <c r="B120" s="13" t="n"/>
      <c r="C120" s="13" t="n"/>
      <c r="D120" s="13" t="n"/>
    </row>
    <row r="121">
      <c r="A121" s="13" t="n"/>
      <c r="B121" s="13" t="n"/>
      <c r="C121" s="13" t="n"/>
      <c r="D121" s="13" t="n"/>
    </row>
    <row r="122">
      <c r="A122" s="13" t="n"/>
      <c r="B122" s="13" t="n"/>
      <c r="C122" s="13" t="n"/>
      <c r="D122" s="13" t="n"/>
    </row>
    <row r="123">
      <c r="A123" s="13" t="n"/>
      <c r="B123" s="13" t="n"/>
      <c r="C123" s="13" t="n"/>
      <c r="D123" s="13" t="n"/>
    </row>
    <row r="124">
      <c r="A124" s="13" t="n"/>
      <c r="B124" s="13" t="n"/>
      <c r="C124" s="13" t="n"/>
      <c r="D124" s="13" t="n"/>
    </row>
    <row r="125">
      <c r="A125" s="13" t="n"/>
      <c r="B125" s="13" t="n"/>
      <c r="C125" s="13" t="n"/>
      <c r="D125" s="13" t="n"/>
    </row>
    <row r="126">
      <c r="A126" s="13" t="n"/>
      <c r="B126" s="13" t="n"/>
      <c r="C126" s="13" t="n"/>
      <c r="D126" s="13" t="n"/>
    </row>
    <row r="127">
      <c r="A127" s="13" t="n"/>
      <c r="B127" s="13" t="n"/>
      <c r="C127" s="13" t="n"/>
      <c r="D127" s="13" t="n"/>
    </row>
    <row r="128">
      <c r="A128" s="13" t="n"/>
      <c r="B128" s="13" t="n"/>
      <c r="C128" s="13" t="n"/>
      <c r="D128" s="13" t="n"/>
    </row>
    <row r="129">
      <c r="A129" s="13" t="n"/>
      <c r="B129" s="13" t="n"/>
      <c r="C129" s="13" t="n"/>
      <c r="D129" s="13" t="n"/>
    </row>
    <row r="130">
      <c r="A130" s="13" t="n"/>
      <c r="B130" s="13" t="n"/>
      <c r="C130" s="13" t="n"/>
      <c r="D130" s="13" t="n"/>
    </row>
    <row r="131">
      <c r="A131" s="13" t="n"/>
      <c r="B131" s="13" t="n"/>
      <c r="C131" s="13" t="n"/>
      <c r="D131" s="13" t="n"/>
    </row>
    <row r="132">
      <c r="A132" s="13" t="n"/>
      <c r="B132" s="13" t="n"/>
      <c r="C132" s="13" t="n"/>
      <c r="D132" s="13" t="n"/>
    </row>
    <row r="133">
      <c r="A133" s="13" t="n"/>
      <c r="B133" s="13" t="n"/>
      <c r="C133" s="13" t="n"/>
      <c r="D133" s="13" t="n"/>
    </row>
    <row r="134">
      <c r="A134" s="13" t="n"/>
      <c r="B134" s="13" t="n"/>
      <c r="C134" s="13" t="n"/>
      <c r="D134" s="13" t="n"/>
    </row>
    <row r="135">
      <c r="A135" s="13" t="n"/>
      <c r="B135" s="13" t="n"/>
      <c r="C135" s="13" t="n"/>
      <c r="D135" s="13" t="n"/>
    </row>
    <row r="136">
      <c r="A136" s="13" t="n"/>
      <c r="B136" s="13" t="n"/>
      <c r="C136" s="13" t="n"/>
      <c r="D136" s="13" t="n"/>
    </row>
    <row r="137">
      <c r="A137" s="13" t="n"/>
      <c r="B137" s="13" t="n"/>
      <c r="C137" s="13" t="n"/>
      <c r="D137" s="13" t="n"/>
    </row>
    <row r="138">
      <c r="A138" s="13" t="n"/>
      <c r="B138" s="13" t="n"/>
      <c r="C138" s="13" t="n"/>
      <c r="D138" s="13" t="n"/>
    </row>
    <row r="139">
      <c r="A139" s="13" t="n"/>
      <c r="B139" s="13" t="n"/>
      <c r="C139" s="13" t="n"/>
      <c r="D139" s="13" t="n"/>
    </row>
    <row r="140">
      <c r="A140" s="13" t="n"/>
      <c r="B140" s="13" t="n"/>
      <c r="C140" s="13" t="n"/>
      <c r="D140" s="13" t="n"/>
    </row>
    <row r="141">
      <c r="A141" s="13" t="n"/>
      <c r="B141" s="13" t="n"/>
      <c r="C141" s="13" t="n"/>
      <c r="D141" s="13" t="n"/>
    </row>
    <row r="142">
      <c r="A142" s="13" t="n"/>
      <c r="B142" s="13" t="n"/>
      <c r="C142" s="13" t="n"/>
      <c r="D142" s="13" t="n"/>
    </row>
    <row r="143">
      <c r="A143" s="13" t="n"/>
      <c r="B143" s="13" t="n"/>
      <c r="C143" s="13" t="n"/>
      <c r="D143" s="13" t="n"/>
    </row>
    <row r="144">
      <c r="A144" s="13" t="n"/>
      <c r="B144" s="13" t="n"/>
      <c r="C144" s="13" t="n"/>
      <c r="D144" s="13" t="n"/>
    </row>
    <row r="145">
      <c r="A145" s="13" t="n"/>
      <c r="B145" s="13" t="n"/>
      <c r="C145" s="13" t="n"/>
      <c r="D145" s="13" t="n"/>
    </row>
    <row r="146">
      <c r="A146" s="13" t="n"/>
      <c r="B146" s="13" t="n"/>
      <c r="C146" s="13" t="n"/>
      <c r="D146" s="13" t="n"/>
    </row>
    <row r="147">
      <c r="A147" s="13" t="n"/>
      <c r="B147" s="13" t="n"/>
      <c r="C147" s="13" t="n"/>
      <c r="D147" s="13" t="n"/>
    </row>
    <row r="148">
      <c r="A148" s="13" t="n"/>
      <c r="B148" s="13" t="n"/>
      <c r="C148" s="13" t="n"/>
      <c r="D148" s="13" t="n"/>
    </row>
    <row r="149">
      <c r="A149" s="13" t="n"/>
      <c r="B149" s="13" t="n"/>
      <c r="C149" s="13" t="n"/>
      <c r="D149" s="13" t="n"/>
    </row>
    <row r="150">
      <c r="A150" s="13" t="n"/>
      <c r="B150" s="13" t="n"/>
      <c r="C150" s="13" t="n"/>
      <c r="D150" s="13" t="n"/>
    </row>
    <row r="151">
      <c r="A151" s="13" t="n"/>
      <c r="B151" s="13" t="n"/>
      <c r="C151" s="13" t="n"/>
      <c r="D151" s="13" t="n"/>
    </row>
    <row r="152">
      <c r="A152" s="13" t="n"/>
      <c r="B152" s="13" t="n"/>
      <c r="C152" s="13" t="n"/>
      <c r="D152" s="13" t="n"/>
    </row>
    <row r="153">
      <c r="A153" s="13" t="n"/>
      <c r="B153" s="13" t="n"/>
      <c r="C153" s="13" t="n"/>
      <c r="D153" s="13" t="n"/>
    </row>
    <row r="154">
      <c r="A154" s="13" t="n"/>
      <c r="B154" s="13" t="n"/>
      <c r="C154" s="13" t="n"/>
      <c r="D154" s="13" t="n"/>
    </row>
    <row r="155">
      <c r="A155" s="13" t="n"/>
      <c r="B155" s="13" t="n"/>
      <c r="C155" s="13" t="n"/>
      <c r="D155" s="13" t="n"/>
    </row>
    <row r="156">
      <c r="A156" s="13" t="n"/>
      <c r="B156" s="13" t="n"/>
      <c r="C156" s="13" t="n"/>
      <c r="D156" s="13" t="n"/>
    </row>
  </sheetData>
  <dataValidations count="2">
    <dataValidation sqref="A2:A2000" showDropDown="0" showInputMessage="0" showErrorMessage="1" allowBlank="1" errorTitle="Valor no válido" error="Elige un valor de la lista (hoja catalogos)." type="list">
      <formula1>kb_minuta!$A$2:$A$2000</formula1>
    </dataValidation>
    <dataValidation sqref="B2:B2000" showDropDown="0" showInputMessage="0" showErrorMessage="1" allowBlank="1" errorTitle="Valor no válido" error="Elige un valor de la lista (hoja catalogos)." type="list">
      <formula1>catalogos!$B$2:$B$6</formula1>
    </dataValidation>
  </dataValidation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C1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8" customWidth="1" min="2" max="2"/>
    <col width="80" customWidth="1" min="3" max="3"/>
  </cols>
  <sheetData>
    <row r="1" ht="34" customHeight="1">
      <c r="A1" s="9" t="inlineStr">
        <is>
          <t>canal</t>
        </is>
      </c>
      <c r="B1" s="9" t="inlineStr">
        <is>
          <t>etiqueta</t>
        </is>
      </c>
      <c r="C1" s="9" t="inlineStr">
        <is>
          <t>zonas_sugeridas (todas + Otro)</t>
        </is>
      </c>
    </row>
    <row r="2">
      <c r="A2" s="10" t="inlineStr">
        <is>
          <t>MESA</t>
        </is>
      </c>
      <c r="B2" s="10" t="inlineStr">
        <is>
          <t>Mesa</t>
        </is>
      </c>
      <c r="C2" s="10" t="inlineStr">
        <is>
          <t>Las del perfil del rubro: Salón 1, Salón 2, Terraza, Balcón, Privado, Patio, Pista, Barra…</t>
        </is>
      </c>
    </row>
    <row r="3">
      <c r="A3" s="10" t="inlineStr">
        <is>
          <t>RECOJO</t>
        </is>
      </c>
      <c r="B3" s="10" t="inlineStr">
        <is>
          <t>Recojo</t>
        </is>
      </c>
      <c r="C3" s="10" t="inlineStr">
        <is>
          <t>Caja, Mostrador, Ventanilla</t>
        </is>
      </c>
    </row>
    <row r="4">
      <c r="A4" s="10" t="inlineStr">
        <is>
          <t>PARA_LLEVAR</t>
        </is>
      </c>
      <c r="B4" s="10" t="inlineStr">
        <is>
          <t>Para llevar</t>
        </is>
      </c>
      <c r="C4" s="10" t="inlineStr">
        <is>
          <t>Mostrador, Ventanilla, Caja</t>
        </is>
      </c>
    </row>
    <row r="5">
      <c r="A5" s="10" t="inlineStr">
        <is>
          <t>BACKOFFICE</t>
        </is>
      </c>
      <c r="B5" s="10" t="inlineStr">
        <is>
          <t>Backoffice</t>
        </is>
      </c>
      <c r="C5" s="10" t="inlineStr">
        <is>
          <t>Administración, Almacén</t>
        </is>
      </c>
    </row>
    <row r="6">
      <c r="A6" s="10" t="inlineStr">
        <is>
          <t>DELIVERY</t>
        </is>
      </c>
      <c r="B6" s="10" t="inlineStr">
        <is>
          <t>Delivery</t>
        </is>
      </c>
      <c r="C6" s="10" t="inlineStr">
        <is>
          <t>Despacho, Ventanilla, Caja</t>
        </is>
      </c>
    </row>
    <row r="7">
      <c r="A7" s="10" t="inlineStr">
        <is>
          <t>OTRO</t>
        </is>
      </c>
      <c r="B7" s="10" t="inlineStr">
        <is>
          <t>Otro (escribir)</t>
        </is>
      </c>
      <c r="C7" s="10" t="inlineStr">
        <is>
          <t>Solo Otro</t>
        </is>
      </c>
    </row>
    <row r="9">
      <c r="A9" s="16" t="inlineStr">
        <is>
          <t>Cómo funciona</t>
        </is>
      </c>
    </row>
    <row r="10">
      <c r="A10" s="17" t="inlineStr">
        <is>
          <t>1</t>
        </is>
      </c>
      <c r="C10" s="17" t="inlineStr">
        <is>
          <t>Primero se eligen los canales de atención (selección múltiple: uno, varios o todos; Otro para escribir).</t>
        </is>
      </c>
    </row>
    <row r="11">
      <c r="A11" s="17" t="inlineStr">
        <is>
          <t>2</t>
        </is>
      </c>
      <c r="C11" s="17" t="inlineStr">
        <is>
          <t>Por cada canal: '¿Qué zonas de atención tiene {canal}?' con las sugeridas + Otro (se puede usar varias veces y combinar).</t>
        </is>
      </c>
    </row>
    <row r="12">
      <c r="A12" s="17" t="inlineStr">
        <is>
          <t>3</t>
        </is>
      </c>
      <c r="C12" s="17" t="inlineStr">
        <is>
          <t>Los canales sirven para configurar el punto de venta y ordenar la minuta. La cobertura WiFi no depende del canal: se revisa en todas las zonas de atención y todos los lugares de preparación.</t>
        </is>
      </c>
    </row>
    <row r="13">
      <c r="A13" s="17" t="inlineStr">
        <is>
          <t>4</t>
        </is>
      </c>
      <c r="C13" s="17" t="inlineStr">
        <is>
          <t>Foto obligatoria por zona de atención; si la zona es la propia Caja, basta la foto de la caja.</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D1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8" customWidth="1" min="1" max="1"/>
    <col width="60" customWidth="1" min="2" max="2"/>
    <col width="14" customWidth="1" min="3" max="3"/>
    <col width="60" customWidth="1" min="4" max="4"/>
  </cols>
  <sheetData>
    <row r="1" ht="34" customHeight="1">
      <c r="A1" s="9" t="inlineStr">
        <is>
          <t>codigo</t>
        </is>
      </c>
      <c r="B1" s="9" t="inlineStr">
        <is>
          <t>evidencia</t>
        </is>
      </c>
      <c r="C1" s="9" t="inlineStr">
        <is>
          <t>cuantas</t>
        </is>
      </c>
      <c r="D1" s="9" t="inlineStr">
        <is>
          <t>nota</t>
        </is>
      </c>
    </row>
    <row r="2">
      <c r="A2" s="10" t="inlineStr">
        <is>
          <t>E9a</t>
        </is>
      </c>
      <c r="B2" s="10" t="inlineStr">
        <is>
          <t>Frontis del local</t>
        </is>
      </c>
      <c r="C2" s="10" t="inlineStr">
        <is>
          <t>1</t>
        </is>
      </c>
      <c r="D2" s="10" t="inlineStr">
        <is>
          <t>Siempre, aunque el local esté en obra, sin router ni internet</t>
        </is>
      </c>
    </row>
    <row r="3">
      <c r="A3" s="10" t="inlineStr">
        <is>
          <t>E9b</t>
        </is>
      </c>
      <c r="B3" s="10" t="inlineStr">
        <is>
          <t>Cada lugar de preparación (Cocina, Barra 1, Parrilla…)</t>
        </is>
      </c>
      <c r="C3" s="10" t="inlineStr">
        <is>
          <t>1 por lugar</t>
        </is>
      </c>
      <c r="D3" s="10" t="inlineStr">
        <is>
          <t>Incluye los escritos con Otro</t>
        </is>
      </c>
    </row>
    <row r="4">
      <c r="A4" s="10" t="inlineStr">
        <is>
          <t>E9b</t>
        </is>
      </c>
      <c r="B4" s="10" t="inlineStr">
        <is>
          <t>Cada zona de atención de cada canal (Salón 1, Mostrador, Despacho…)</t>
        </is>
      </c>
      <c r="C4" s="10" t="inlineStr">
        <is>
          <t>1 por zona</t>
        </is>
      </c>
      <c r="D4" s="10" t="inlineStr">
        <is>
          <t>Si la zona es la propia Caja, basta la foto de la caja</t>
        </is>
      </c>
    </row>
    <row r="5">
      <c r="A5" s="10" t="inlineStr">
        <is>
          <t>E9b</t>
        </is>
      </c>
      <c r="B5" s="10" t="inlineStr">
        <is>
          <t>Cada caja (Caja 1, Caja 2…)</t>
        </is>
      </c>
      <c r="C5" s="10" t="inlineStr">
        <is>
          <t>1 por caja</t>
        </is>
      </c>
      <c r="D5" s="10" t="inlineStr">
        <is>
          <t>—</t>
        </is>
      </c>
    </row>
    <row r="7">
      <c r="A7" s="16" t="inlineStr">
        <is>
          <t>Validación de cada evidencia con IA</t>
        </is>
      </c>
    </row>
    <row r="8">
      <c r="A8" s="17" t="inlineStr">
        <is>
          <t>esEvidenciaSolicitada</t>
        </is>
      </c>
      <c r="B8" s="17" t="inlineStr">
        <is>
          <t>¿La foto muestra lo que se pidió?</t>
        </is>
      </c>
      <c r="D8" s="17" t="inlineStr">
        <is>
          <t>La imagen no corresponde a lo solicitado ({evidencia}): se parece a {queMuestra}. Vuelve a tomar o subir la foto, o salta la evidencia (las obligatorias no se saltan). Se compara con el dataset de referencias (hojas kb_evidencia_tipo y kb_evidencia_referencia).</t>
        </is>
      </c>
    </row>
    <row r="9">
      <c r="A9" s="17" t="inlineStr">
        <is>
          <t>legible</t>
        </is>
      </c>
      <c r="B9" s="17" t="inlineStr">
        <is>
          <t>¿Se leen los datos?</t>
        </is>
      </c>
      <c r="D9" s="17" t="inlineStr">
        <is>
          <t>La imagen no es legible. Sube nuevamente {evidencia}.</t>
        </is>
      </c>
    </row>
    <row r="10">
      <c r="A10" s="17" t="inlineStr">
        <is>
          <t>completo (E1/E1b)</t>
        </is>
      </c>
      <c r="B10" s="17" t="inlineStr">
        <is>
          <t>¿Se ve la prueba completa (subida y proveedor)?</t>
        </is>
      </c>
      <c r="D10" s="17" t="inlineStr">
        <is>
          <t>La prueba no está completa: espera a que termine y sube la captura con la descarga, la subida y el ping.</t>
        </is>
      </c>
    </row>
    <row r="11">
      <c r="A11" s="17" t="inlineStr">
        <is>
          <t>eliminarLectura</t>
        </is>
      </c>
      <c r="B11" s="17" t="inlineStr">
        <is>
          <t>¿El técnico quitó una lectura de "Esto leí en la captura"?</t>
        </is>
      </c>
      <c r="D11" s="17" t="inlineStr">
        <is>
          <t>X roja junto a cada lectura: se elimina y no aparece en el chat, la minuta ni el anexo (data._del); las reglas la toman como dato no leído. Restaurar devuelve lo que leyó la IA.</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C9"/>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0" customWidth="1" min="1" max="1"/>
    <col width="40" customWidth="1" min="2" max="2"/>
    <col width="26" customWidth="1" min="3" max="3"/>
  </cols>
  <sheetData>
    <row r="1" ht="34" customHeight="1">
      <c r="A1" s="9" t="inlineStr">
        <is>
          <t>lo_que_muestra_el_escaner</t>
        </is>
      </c>
      <c r="B1" s="9" t="inlineStr">
        <is>
          <t>icono_en_el_mapa</t>
        </is>
      </c>
      <c r="C1" s="9" t="inlineStr">
        <is>
          <t>estado</t>
        </is>
      </c>
    </row>
    <row r="2">
      <c r="A2" s="10" t="inlineStr">
        <is>
          <t>Nombre DESKTOP-… o LAPTOP-…</t>
        </is>
      </c>
      <c r="B2" s="10" t="inlineStr">
        <is>
          <t>PC / laptop</t>
        </is>
      </c>
      <c r="C2" s="10" t="inlineStr">
        <is>
          <t>Confirmado por el equipo (DESKTOP-)</t>
        </is>
      </c>
    </row>
    <row r="3">
      <c r="A3" s="10" t="inlineStr">
        <is>
          <t>Fabricante Raspberry Pi o nombre 'raspberrypi'</t>
        </is>
      </c>
      <c r="B3" s="10" t="inlineStr">
        <is>
          <t>Raspberry</t>
        </is>
      </c>
      <c r="C3" s="10" t="inlineStr">
        <is>
          <t>Propuesto</t>
        </is>
      </c>
    </row>
    <row r="4">
      <c r="A4" s="10" t="inlineStr">
        <is>
          <t>Fabricante Epson, Bixolon, Star, 3nStar, Xprinter, POSD, o IP = autotest (E5)</t>
        </is>
      </c>
      <c r="B4" s="10" t="inlineStr">
        <is>
          <t>Impresora (IMP. {nombre})</t>
        </is>
      </c>
      <c r="C4" s="10" t="inlineStr">
        <is>
          <t>Propuesto</t>
        </is>
      </c>
    </row>
    <row r="5">
      <c r="A5" s="10" t="inlineStr">
        <is>
          <t>Fabricante Hikvision, Dahua, EZVIZ, Imou, TP-Link Tapo</t>
        </is>
      </c>
      <c r="B5" s="10" t="inlineStr">
        <is>
          <t>Cámara de vigilancia</t>
        </is>
      </c>
      <c r="C5" s="10" t="inlineStr">
        <is>
          <t>Propuesto</t>
        </is>
      </c>
    </row>
    <row r="6">
      <c r="A6" s="10" t="inlineStr">
        <is>
          <t>IP = puerta de enlace del ipconfig (E4)</t>
        </is>
      </c>
      <c r="B6" s="10" t="inlineStr">
        <is>
          <t>Router</t>
        </is>
      </c>
      <c r="C6" s="10" t="inlineStr">
        <is>
          <t>Propuesto</t>
        </is>
      </c>
    </row>
    <row r="7">
      <c r="A7" s="10" t="inlineStr">
        <is>
          <t>TP-Link, Huawei o ZTE que no es la puerta de enlace</t>
        </is>
      </c>
      <c r="B7" s="10" t="inlineStr">
        <is>
          <t>Repetidor / AP / mesh (el técnico confirma)</t>
        </is>
      </c>
      <c r="C7" s="10" t="inlineStr">
        <is>
          <t>Propuesto</t>
        </is>
      </c>
    </row>
    <row r="8">
      <c r="A8" s="10" t="inlineStr">
        <is>
          <t>Android, iPhone, Samsung, Galaxy…</t>
        </is>
      </c>
      <c r="B8" s="10" t="inlineStr">
        <is>
          <t>No se muestra en el mapa</t>
        </is>
      </c>
      <c r="C8" s="10" t="inlineStr">
        <is>
          <t>Propuesto</t>
        </is>
      </c>
    </row>
    <row r="9">
      <c r="A9" s="10" t="inlineStr">
        <is>
          <t>No reconocido</t>
        </is>
      </c>
      <c r="B9" s="10" t="inlineStr">
        <is>
          <t>Otro equipo (el técnico cambia el tipo)</t>
        </is>
      </c>
      <c r="C9" s="10" t="inlineStr">
        <is>
          <t>Propuesto</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J26"/>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10" customWidth="1" min="3" max="3"/>
    <col width="30" customWidth="1" min="4" max="4"/>
    <col width="46" customWidth="1" min="5" max="5"/>
    <col width="40" customWidth="1" min="6" max="6"/>
    <col width="40" customWidth="1" min="7" max="7"/>
    <col width="34" customWidth="1" min="8" max="8"/>
    <col width="10" customWidth="1" min="9" max="9"/>
    <col width="10" customWidth="1" min="10" max="10"/>
  </cols>
  <sheetData>
    <row r="1" ht="34" customHeight="1">
      <c r="A1" s="9" t="inlineStr">
        <is>
          <t>tipo</t>
        </is>
      </c>
      <c r="B1" s="9" t="inlineStr">
        <is>
          <t>codigo_apk</t>
        </is>
      </c>
      <c r="C1" s="9" t="inlineStr">
        <is>
          <t>codigo_kb</t>
        </is>
      </c>
      <c r="D1" s="9" t="inlineStr">
        <is>
          <t>nombre</t>
        </is>
      </c>
      <c r="E1" s="9" t="inlineStr">
        <is>
          <t>debe_mostrar</t>
        </is>
      </c>
      <c r="F1" s="9" t="inlineStr">
        <is>
          <t>palabras_ocr</t>
        </is>
      </c>
      <c r="G1" s="9" t="inlineStr">
        <is>
          <t>rasgos_visuales</t>
        </is>
      </c>
      <c r="H1" s="9" t="inlineStr">
        <is>
          <t>confusiones_tipicas</t>
        </is>
      </c>
      <c r="I1" s="9" t="inlineStr">
        <is>
          <t>umbral_similitud</t>
        </is>
      </c>
      <c r="J1" s="9" t="inlineStr">
        <is>
          <t>referencias</t>
        </is>
      </c>
    </row>
    <row r="2">
      <c r="A2" s="10" t="inlineStr">
        <is>
          <t>speedtest</t>
        </is>
      </c>
      <c r="B2" s="10" t="inlineStr">
        <is>
          <t>E1 / E1b</t>
        </is>
      </c>
      <c r="C2" s="10" t="inlineStr">
        <is>
          <t>E1</t>
        </is>
      </c>
      <c r="D2" s="10" t="inlineStr">
        <is>
          <t>Speedtest (prueba de velocidad)</t>
        </is>
      </c>
      <c r="E2" s="10" t="inlineStr">
        <is>
          <t>Descarga, subida y ping con la prueba terminada; proveedor o servidor visible</t>
        </is>
      </c>
      <c r="F2" s="10" t="inlineStr">
        <is>
          <t>Mbps, descarga, download, subida, upload, ping, ms, speedtest, fast.com</t>
        </is>
      </c>
      <c r="G2" s="10" t="inlineStr">
        <is>
          <t>Captura de pantalla de app/web con dos o tres números grandes y unidades Mbps</t>
        </is>
      </c>
      <c r="H2" s="10" t="inlineStr">
        <is>
          <t>Captura de otra app; prueba a medias (sin subida)</t>
        </is>
      </c>
      <c r="I2" s="10" t="n">
        <v>0.6</v>
      </c>
      <c r="J2" s="10" t="n">
        <v>2</v>
      </c>
    </row>
    <row r="3">
      <c r="A3" s="10" t="inlineStr">
        <is>
          <t>ipconfig</t>
        </is>
      </c>
      <c r="B3" s="10" t="inlineStr">
        <is>
          <t>E1c</t>
        </is>
      </c>
      <c r="C3" s="10" t="inlineStr">
        <is>
          <t>E4</t>
        </is>
      </c>
      <c r="D3" s="10" t="inlineStr">
        <is>
          <t>ipconfig de la PC o laptop</t>
        </is>
      </c>
      <c r="E3" s="10" t="inlineStr">
        <is>
          <t>Consola con IPv4, máscara de subred y puerta de enlace</t>
        </is>
      </c>
      <c r="F3" s="10" t="inlineStr">
        <is>
          <t>ipconfig, IPv4, Máscara de subred, Subnet Mask, Puerta de enlace, Default Gateway, Adaptador</t>
        </is>
      </c>
      <c r="G3" s="10" t="inlineStr">
        <is>
          <t>Ventana de consola (fondo negro o azul) con texto monoespaciado</t>
        </is>
      </c>
      <c r="H3" s="10" t="inlineStr">
        <is>
          <t>Foto del escritorio, del escáner de IP</t>
        </is>
      </c>
      <c r="I3" s="10" t="n">
        <v>0.6</v>
      </c>
      <c r="J3" s="10" t="n">
        <v>1</v>
      </c>
    </row>
    <row r="4">
      <c r="A4" s="10" t="inlineStr">
        <is>
          <t>escaner_ip</t>
        </is>
      </c>
      <c r="B4" s="10" t="inlineStr">
        <is>
          <t>E1d</t>
        </is>
      </c>
      <c r="C4" s="10" t="inlineStr">
        <is>
          <t>E8</t>
        </is>
      </c>
      <c r="D4" s="10" t="inlineStr">
        <is>
          <t>Escáner de IP</t>
        </is>
      </c>
      <c r="E4" s="10" t="inlineStr">
        <is>
          <t>Lista de equipos con IP (y fabricante/MAC si se ve)</t>
        </is>
      </c>
      <c r="F4" s="10" t="inlineStr">
        <is>
          <t>Advanced IP Scanner, Fing, IP, MAC, Fabricante, Manufacturer, 192.168.</t>
        </is>
      </c>
      <c r="G4" s="10" t="inlineStr">
        <is>
          <t>Tabla con varias filas de direcciones IP</t>
        </is>
      </c>
      <c r="H4" s="10" t="inlineStr">
        <is>
          <t>ipconfig (una sola IP); speedtest</t>
        </is>
      </c>
      <c r="I4" s="10" t="n">
        <v>0.6</v>
      </c>
      <c r="J4" s="10" t="n">
        <v>1</v>
      </c>
    </row>
    <row r="5">
      <c r="A5" s="10" t="inlineStr">
        <is>
          <t>router_ubicacion</t>
        </is>
      </c>
      <c r="B5" s="10" t="inlineStr">
        <is>
          <t>E2u</t>
        </is>
      </c>
      <c r="C5" s="10" t="inlineStr">
        <is>
          <t>E2</t>
        </is>
      </c>
      <c r="D5" s="10" t="inlineStr">
        <is>
          <t>Ubicación del router</t>
        </is>
      </c>
      <c r="E5" s="10" t="inlineStr">
        <is>
          <t>El router en su lugar, con el entorno (mueble, pared, cables)</t>
        </is>
      </c>
      <c r="F5" s="10" t="inlineStr"/>
      <c r="G5" s="10" t="inlineStr">
        <is>
          <t>Equipo de red pequeño con luces/antenas en un entorno; plano medio</t>
        </is>
      </c>
      <c r="H5" s="10" t="inlineStr">
        <is>
          <t>Foto solo de la etiqueta; foto de la caja sin router</t>
        </is>
      </c>
      <c r="I5" s="10" t="n">
        <v>0.55</v>
      </c>
      <c r="J5" s="10" t="n">
        <v>4</v>
      </c>
    </row>
    <row r="6">
      <c r="A6" s="10" t="inlineStr">
        <is>
          <t>router_puertos</t>
        </is>
      </c>
      <c r="B6" s="10" t="inlineStr">
        <is>
          <t>E2</t>
        </is>
      </c>
      <c r="C6" s="10" t="inlineStr">
        <is>
          <t>E2</t>
        </is>
      </c>
      <c r="D6" s="10" t="inlineStr">
        <is>
          <t>Puertos del router</t>
        </is>
      </c>
      <c r="E6" s="10" t="inlineStr">
        <is>
          <t>Parte trasera con todos los puertos LAN visibles</t>
        </is>
      </c>
      <c r="F6" s="10" t="inlineStr">
        <is>
          <t>LAN, WAN, POWER, RESET, TEL</t>
        </is>
      </c>
      <c r="G6" s="10" t="inlineStr">
        <is>
          <t>Primer plano de conectores RJ45 en fila</t>
        </is>
      </c>
      <c r="H6" s="10" t="inlineStr">
        <is>
          <t>Foto frontal del router (solo luces)</t>
        </is>
      </c>
      <c r="I6" s="10" t="n">
        <v>0.55</v>
      </c>
      <c r="J6" s="10" t="n">
        <v>1</v>
      </c>
    </row>
    <row r="7">
      <c r="A7" s="10" t="inlineStr">
        <is>
          <t>router_etiqueta</t>
        </is>
      </c>
      <c r="B7" s="10" t="inlineStr">
        <is>
          <t>E2e</t>
        </is>
      </c>
      <c r="C7" s="10" t="inlineStr">
        <is>
          <t>E3</t>
        </is>
      </c>
      <c r="D7" s="10" t="inlineStr">
        <is>
          <t>Etiqueta del router</t>
        </is>
      </c>
      <c r="E7" s="10" t="inlineStr">
        <is>
          <t>Marca, modelo y SN legibles (credenciales se ocultan al guardar)</t>
        </is>
      </c>
      <c r="F7" s="10" t="inlineStr">
        <is>
          <t>Model, Modelo, S/N, SN, MAC, Huawei, ZTE, TP-Link, GPON</t>
        </is>
      </c>
      <c r="G7" s="10" t="inlineStr">
        <is>
          <t>Etiqueta blanca con texto pequeño, códigos de barras/QR</t>
        </is>
      </c>
      <c r="H7" s="10" t="inlineStr">
        <is>
          <t>Etiqueta de impresora</t>
        </is>
      </c>
      <c r="I7" s="10" t="n">
        <v>0.55</v>
      </c>
      <c r="J7" s="10" t="n">
        <v>1</v>
      </c>
    </row>
    <row r="8">
      <c r="A8" s="10" t="inlineStr">
        <is>
          <t>impresora_etiqueta</t>
        </is>
      </c>
      <c r="B8" s="10" t="inlineStr">
        <is>
          <t>E5a</t>
        </is>
      </c>
      <c r="C8" s="10" t="inlineStr">
        <is>
          <t>E5</t>
        </is>
      </c>
      <c r="D8" s="10" t="inlineStr">
        <is>
          <t>Etiqueta de la impresora</t>
        </is>
      </c>
      <c r="E8" s="10" t="inlineStr">
        <is>
          <t>Marca y modelo de la impresora</t>
        </is>
      </c>
      <c r="F8" s="10" t="inlineStr">
        <is>
          <t>Model, Modelo, Epson, Bixolon, CBX, Xprinter, 3nStar, TM-T20, POS</t>
        </is>
      </c>
      <c r="G8" s="10" t="inlineStr">
        <is>
          <t>Impresora térmica o su etiqueta</t>
        </is>
      </c>
      <c r="H8" s="10" t="inlineStr">
        <is>
          <t>Etiqueta del router</t>
        </is>
      </c>
      <c r="I8" s="10" t="n">
        <v>0.55</v>
      </c>
      <c r="J8" s="10" t="n">
        <v>2</v>
      </c>
    </row>
    <row r="9">
      <c r="A9" s="10" t="inlineStr">
        <is>
          <t>impresora_conexiones</t>
        </is>
      </c>
      <c r="B9" s="10" t="inlineStr">
        <is>
          <t>E5b</t>
        </is>
      </c>
      <c r="C9" s="10" t="inlineStr">
        <is>
          <t>E5</t>
        </is>
      </c>
      <c r="D9" s="10" t="inlineStr">
        <is>
          <t>Conexiones de la impresora</t>
        </is>
      </c>
      <c r="E9" s="10" t="inlineStr">
        <is>
          <t>Parte trasera con los cables conectados (LAN/USB/energía)</t>
        </is>
      </c>
      <c r="F9" s="10" t="inlineStr">
        <is>
          <t>LAN, USB, DC, 24V</t>
        </is>
      </c>
      <c r="G9" s="10" t="inlineStr">
        <is>
          <t>Primer plano de la parte trasera con conectores</t>
        </is>
      </c>
      <c r="H9" s="10" t="inlineStr">
        <is>
          <t>Puertos del router</t>
        </is>
      </c>
      <c r="I9" s="10" t="n">
        <v>0.55</v>
      </c>
      <c r="J9" s="10" t="n">
        <v>1</v>
      </c>
    </row>
    <row r="10">
      <c r="A10" s="10" t="inlineStr">
        <is>
          <t>impresora_selftest</t>
        </is>
      </c>
      <c r="B10" s="10" t="inlineStr">
        <is>
          <t>E5</t>
        </is>
      </c>
      <c r="C10" s="10" t="inlineStr">
        <is>
          <t>E5</t>
        </is>
      </c>
      <c r="D10" s="10" t="inlineStr">
        <is>
          <t>Selftest de la impresora</t>
        </is>
      </c>
      <c r="E10" s="10" t="inlineStr">
        <is>
          <t>Ticket de autoprueba con la IP (impresora de red) o la configuración</t>
        </is>
      </c>
      <c r="F10" s="10" t="inlineStr">
        <is>
          <t>Self Test, Autoprueba, IP Address, Subnet, Gateway, Interface, DHCP</t>
        </is>
      </c>
      <c r="G10" s="10" t="inlineStr">
        <is>
          <t>Ticket de papel térmico largo con texto</t>
        </is>
      </c>
      <c r="H10" s="10" t="inlineStr">
        <is>
          <t>Foto de la impresora sin ticket</t>
        </is>
      </c>
      <c r="I10" s="10" t="n">
        <v>0.6</v>
      </c>
      <c r="J10" s="10" t="n">
        <v>1</v>
      </c>
    </row>
    <row r="11">
      <c r="A11" s="10" t="inlineStr">
        <is>
          <t>frontis</t>
        </is>
      </c>
      <c r="B11" s="10" t="inlineStr">
        <is>
          <t>E9a</t>
        </is>
      </c>
      <c r="C11" s="10" t="inlineStr">
        <is>
          <t>E9</t>
        </is>
      </c>
      <c r="D11" s="10" t="inlineStr">
        <is>
          <t>Frontis del local</t>
        </is>
      </c>
      <c r="E11" s="10" t="inlineStr">
        <is>
          <t>Fachada o entrada con el nombre del local</t>
        </is>
      </c>
      <c r="F11" s="10" t="inlineStr"/>
      <c r="G11" s="10" t="inlineStr">
        <is>
          <t>Exterior: fachada, letrero, vereda</t>
        </is>
      </c>
      <c r="H11" s="10" t="inlineStr">
        <is>
          <t>Zona interior</t>
        </is>
      </c>
      <c r="I11" s="10" t="n">
        <v>0.5</v>
      </c>
      <c r="J11" s="10" t="n">
        <v>1</v>
      </c>
    </row>
    <row r="12">
      <c r="A12" s="10" t="inlineStr">
        <is>
          <t>zona_atencion</t>
        </is>
      </c>
      <c r="B12" s="10" t="inlineStr">
        <is>
          <t>E9b (zona)</t>
        </is>
      </c>
      <c r="C12" s="10" t="inlineStr">
        <is>
          <t>E9</t>
        </is>
      </c>
      <c r="D12" s="10" t="inlineStr">
        <is>
          <t>Zona de atención (salón, mostrador, despacho…)</t>
        </is>
      </c>
      <c r="E12" s="10" t="inlineStr">
        <is>
          <t>El espacio donde se atiende: mesas, mostrador o pasillo</t>
        </is>
      </c>
      <c r="F12" s="10" t="inlineStr"/>
      <c r="G12" s="10" t="inlineStr">
        <is>
          <t>Interior amplio con mesas, sillas o mostrador</t>
        </is>
      </c>
      <c r="H12" s="10" t="inlineStr">
        <is>
          <t>Foto de una sola silla o de una pared (contraejemplo)</t>
        </is>
      </c>
      <c r="I12" s="10" t="n">
        <v>0.5</v>
      </c>
      <c r="J12" s="10" t="n">
        <v>5</v>
      </c>
    </row>
    <row r="13">
      <c r="A13" s="10" t="inlineStr">
        <is>
          <t>lugar_preparacion</t>
        </is>
      </c>
      <c r="B13" s="10" t="inlineStr">
        <is>
          <t>E9b (preparación)</t>
        </is>
      </c>
      <c r="C13" s="10" t="inlineStr">
        <is>
          <t>E9</t>
        </is>
      </c>
      <c r="D13" s="10" t="inlineStr">
        <is>
          <t>Lugar de preparación (cocina, barra, parrilla…)</t>
        </is>
      </c>
      <c r="E13" s="10" t="inlineStr">
        <is>
          <t>El área de trabajo con equipos de cocina o barra</t>
        </is>
      </c>
      <c r="F13" s="10" t="inlineStr"/>
      <c r="G13" s="10" t="inlineStr">
        <is>
          <t>Cocina/barra: superficies de acero, cocinas, botellas, campana</t>
        </is>
      </c>
      <c r="H13" s="10" t="inlineStr">
        <is>
          <t>Despensa o almacén (contraejemplo)</t>
        </is>
      </c>
      <c r="I13" s="10" t="n">
        <v>0.5</v>
      </c>
      <c r="J13" s="10" t="n">
        <v>2</v>
      </c>
    </row>
    <row r="14">
      <c r="A14" s="10" t="inlineStr">
        <is>
          <t>caja</t>
        </is>
      </c>
      <c r="B14" s="10" t="inlineStr">
        <is>
          <t>E9b (caja)</t>
        </is>
      </c>
      <c r="C14" s="10" t="inlineStr">
        <is>
          <t>E9</t>
        </is>
      </c>
      <c r="D14" s="10" t="inlineStr">
        <is>
          <t>Caja</t>
        </is>
      </c>
      <c r="E14" s="10" t="inlineStr">
        <is>
          <t>El punto de cobro con PC, POS o tablet</t>
        </is>
      </c>
      <c r="F14" s="10" t="inlineStr"/>
      <c r="G14" s="10" t="inlineStr">
        <is>
          <t>Mostrador con computador/monitor o terminal POS</t>
        </is>
      </c>
      <c r="H14" s="10" t="inlineStr">
        <is>
          <t>Pantalla de la PC sin contexto</t>
        </is>
      </c>
      <c r="I14" s="10" t="n">
        <v>0.5</v>
      </c>
      <c r="J14" s="10" t="n">
        <v>4</v>
      </c>
    </row>
    <row r="15">
      <c r="A15" s="10" t="inlineStr">
        <is>
          <t>anydesk</t>
        </is>
      </c>
      <c r="B15" s="10" t="inlineStr">
        <is>
          <t>E7</t>
        </is>
      </c>
      <c r="C15" s="10" t="inlineStr">
        <is>
          <t>OTRA</t>
        </is>
      </c>
      <c r="D15" s="10" t="inlineStr">
        <is>
          <t>AnyDesk del equipo de caja</t>
        </is>
      </c>
      <c r="E15" s="10" t="inlineStr">
        <is>
          <t>Ventana de AnyDesk con el código del puesto (se guarda aparte, cifrado)</t>
        </is>
      </c>
      <c r="F15" s="10" t="inlineStr">
        <is>
          <t>AnyDesk, Este puesto de trabajo, This Desk, Dirección</t>
        </is>
      </c>
      <c r="G15" s="10" t="inlineStr">
        <is>
          <t>Ventana de AnyDesk (rojo/naranja) con número grande</t>
        </is>
      </c>
      <c r="H15" s="10" t="inlineStr">
        <is>
          <t>Información del sistema de Windows</t>
        </is>
      </c>
      <c r="I15" s="10" t="n">
        <v>0.6</v>
      </c>
      <c r="J15" s="10" t="n">
        <v>2</v>
      </c>
    </row>
    <row r="16">
      <c r="A16" s="10" t="inlineStr">
        <is>
          <t>equipo_caja_datos</t>
        </is>
      </c>
      <c r="B16" s="10" t="inlineStr">
        <is>
          <t>(opcional)</t>
        </is>
      </c>
      <c r="C16" s="10" t="inlineStr">
        <is>
          <t>OTRA</t>
        </is>
      </c>
      <c r="D16" s="10" t="inlineStr">
        <is>
          <t>Datos del equipo de caja</t>
        </is>
      </c>
      <c r="E16" s="10" t="inlineStr">
        <is>
          <t>Procesador, RAM, sistema operativo</t>
        </is>
      </c>
      <c r="F16" s="10" t="inlineStr">
        <is>
          <t>Procesador, RAM, Windows, Sistema, Información</t>
        </is>
      </c>
      <c r="G16" s="10" t="inlineStr">
        <is>
          <t>Pantalla de Configuración &gt; Sistema &gt; Información</t>
        </is>
      </c>
      <c r="H16" s="10" t="inlineStr">
        <is>
          <t>AnyDesk</t>
        </is>
      </c>
      <c r="I16" s="10" t="n">
        <v>0.6</v>
      </c>
      <c r="J16" s="10" t="n">
        <v>1</v>
      </c>
    </row>
    <row r="17">
      <c r="A17" s="10" t="inlineStr">
        <is>
          <t>tablet_datos</t>
        </is>
      </c>
      <c r="B17" s="10" t="inlineStr">
        <is>
          <t>(opcional)</t>
        </is>
      </c>
      <c r="C17" s="10" t="inlineStr">
        <is>
          <t>OTRA</t>
        </is>
      </c>
      <c r="D17" s="10" t="inlineStr">
        <is>
          <t>Datos de la tablet</t>
        </is>
      </c>
      <c r="E17" s="10" t="inlineStr">
        <is>
          <t>Modelo, Android, RAM</t>
        </is>
      </c>
      <c r="F17" s="10" t="inlineStr">
        <is>
          <t>Acerca de la tablet, Modelo, Android, RAM</t>
        </is>
      </c>
      <c r="G17" s="10" t="inlineStr">
        <is>
          <t>Pantalla de ajustes de Android</t>
        </is>
      </c>
      <c r="H17" s="10" t="inlineStr">
        <is>
          <t>Foto de la caja</t>
        </is>
      </c>
      <c r="I17" s="10" t="n">
        <v>0.6</v>
      </c>
      <c r="J17" s="10" t="n">
        <v>2</v>
      </c>
    </row>
    <row r="18">
      <c r="A18" s="10" t="inlineStr">
        <is>
          <t>gabinete</t>
        </is>
      </c>
      <c r="B18" s="10" t="inlineStr">
        <is>
          <t>(opcional)</t>
        </is>
      </c>
      <c r="C18" s="10" t="inlineStr">
        <is>
          <t>E6</t>
        </is>
      </c>
      <c r="D18" s="10" t="inlineStr">
        <is>
          <t>Gabinete de red</t>
        </is>
      </c>
      <c r="E18" s="10" t="inlineStr">
        <is>
          <t>Gabinete o rack con equipos de red</t>
        </is>
      </c>
      <c r="F18" s="10" t="inlineStr"/>
      <c r="G18" s="10" t="inlineStr">
        <is>
          <t>Caja metálica con switch/patch panel</t>
        </is>
      </c>
      <c r="H18" s="10" t="inlineStr">
        <is>
          <t>Router suelto</t>
        </is>
      </c>
      <c r="I18" s="10" t="n">
        <v>0.5</v>
      </c>
      <c r="J18" s="10" t="n">
        <v>1</v>
      </c>
    </row>
    <row r="19">
      <c r="A19" s="10" t="inlineStr">
        <is>
          <t>cableado_energia</t>
        </is>
      </c>
      <c r="B19" s="10" t="inlineStr">
        <is>
          <t>(opcional)</t>
        </is>
      </c>
      <c r="C19" s="10" t="inlineStr">
        <is>
          <t>E6</t>
        </is>
      </c>
      <c r="D19" s="10" t="inlineStr">
        <is>
          <t>Cableado y energía</t>
        </is>
      </c>
      <c r="E19" s="10" t="inlineStr">
        <is>
          <t>Recorrido de cables o tomas de energía</t>
        </is>
      </c>
      <c r="F19" s="10" t="inlineStr"/>
      <c r="G19" s="10" t="inlineStr">
        <is>
          <t>Cables, canaletas, tomacorrientes, regletas</t>
        </is>
      </c>
      <c r="H19" s="10" t="inlineStr">
        <is>
          <t>Puertos del router</t>
        </is>
      </c>
      <c r="I19" s="10" t="n">
        <v>0.5</v>
      </c>
      <c r="J19" s="10" t="n">
        <v>3</v>
      </c>
    </row>
    <row r="20">
      <c r="A20" s="10" t="inlineStr">
        <is>
          <t>equipo_red_en_mano</t>
        </is>
      </c>
      <c r="B20" s="10" t="inlineStr">
        <is>
          <t>(opcional)</t>
        </is>
      </c>
      <c r="C20" s="10" t="inlineStr">
        <is>
          <t>E2</t>
        </is>
      </c>
      <c r="D20" s="10" t="inlineStr">
        <is>
          <t>Equipo de red en mano</t>
        </is>
      </c>
      <c r="E20" s="10" t="inlineStr">
        <is>
          <t>Router, switch o repetidor sostenido en mano</t>
        </is>
      </c>
      <c r="F20" s="10" t="inlineStr"/>
      <c r="G20" s="10" t="inlineStr">
        <is>
          <t>Equipo de red en primer plano con una mano</t>
        </is>
      </c>
      <c r="H20" s="10" t="inlineStr">
        <is>
          <t>Ubicación del router</t>
        </is>
      </c>
      <c r="I20" s="10" t="n">
        <v>0.5</v>
      </c>
      <c r="J20" s="10" t="n">
        <v>1</v>
      </c>
    </row>
    <row r="21">
      <c r="A21" s="10" t="inlineStr">
        <is>
          <t>access_point_techo</t>
        </is>
      </c>
      <c r="B21" s="10" t="inlineStr">
        <is>
          <t>(opcional)</t>
        </is>
      </c>
      <c r="C21" s="10" t="inlineStr">
        <is>
          <t>E6</t>
        </is>
      </c>
      <c r="D21" s="10" t="inlineStr">
        <is>
          <t>Access point / repetidor instalado</t>
        </is>
      </c>
      <c r="E21" s="10" t="inlineStr">
        <is>
          <t>Equipo en techo o pared alta</t>
        </is>
      </c>
      <c r="F21" s="10" t="inlineStr"/>
      <c r="G21" s="10" t="inlineStr">
        <is>
          <t>Dispositivo circular o pequeño en techo/pared</t>
        </is>
      </c>
      <c r="H21" s="10" t="inlineStr">
        <is>
          <t>Lámpara</t>
        </is>
      </c>
      <c r="I21" s="10" t="n">
        <v>0.5</v>
      </c>
      <c r="J21" s="10" t="n">
        <v>1</v>
      </c>
    </row>
    <row r="22">
      <c r="A22" s="10" t="inlineStr">
        <is>
          <t>camaras_monitor</t>
        </is>
      </c>
      <c r="B22" s="10" t="inlineStr">
        <is>
          <t>(opcional)</t>
        </is>
      </c>
      <c r="C22" s="10" t="inlineStr">
        <is>
          <t>E6</t>
        </is>
      </c>
      <c r="D22" s="10" t="inlineStr">
        <is>
          <t>Cámaras (monitor del DVR/NVR)</t>
        </is>
      </c>
      <c r="E22" s="10" t="inlineStr">
        <is>
          <t>Monitor con la cuadrícula de cámaras</t>
        </is>
      </c>
      <c r="F22" s="10" t="inlineStr"/>
      <c r="G22" s="10" t="inlineStr">
        <is>
          <t>Pantalla dividida en cuadrículas de video</t>
        </is>
      </c>
      <c r="H22" s="10" t="inlineStr">
        <is>
          <t>Pantalla de la PC de caja</t>
        </is>
      </c>
      <c r="I22" s="10" t="n">
        <v>0.5</v>
      </c>
      <c r="J22" s="10" t="n">
        <v>1</v>
      </c>
    </row>
    <row r="23">
      <c r="A23" s="10" t="inlineStr">
        <is>
          <t>topologia</t>
        </is>
      </c>
      <c r="B23" s="10" t="inlineStr">
        <is>
          <t>(la genera la app)</t>
        </is>
      </c>
      <c r="C23" s="10" t="inlineStr">
        <is>
          <t>MAPA</t>
        </is>
      </c>
      <c r="D23" s="10" t="inlineStr">
        <is>
          <t>Mapa de red</t>
        </is>
      </c>
      <c r="E23" s="10" t="inlineStr">
        <is>
          <t>No se sube: lo genera la app</t>
        </is>
      </c>
      <c r="F23" s="10" t="inlineStr"/>
      <c r="G23" s="10" t="inlineStr">
        <is>
          <t>Diagrama con íconos y líneas</t>
        </is>
      </c>
      <c r="H23" s="10" t="inlineStr">
        <is>
          <t>—</t>
        </is>
      </c>
      <c r="I23" s="10" t="n"/>
      <c r="J23" s="10" t="n">
        <v>3</v>
      </c>
    </row>
    <row r="25">
      <c r="A25" s="16" t="inlineStr">
        <is>
          <t>Mensaje si no corresponde</t>
        </is>
      </c>
      <c r="D25" s="17" t="inlineStr">
        <is>
          <t>La imagen no corresponde a lo solicitado ({nombre}). Parece {tipo_detectado}. Vuelve a tomar o subir la foto, o salta la evidencia.</t>
        </is>
      </c>
    </row>
    <row r="26">
      <c r="A26" s="16" t="inlineStr">
        <is>
          <t>Mensaje si no es legible</t>
        </is>
      </c>
      <c r="D26" s="17" t="inlineStr">
        <is>
          <t>La imagen no es legible. Vuelve a tomar la foto de {nombre}.</t>
        </is>
      </c>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G4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2" customWidth="1" min="1" max="1"/>
    <col width="22" customWidth="1" min="2" max="2"/>
    <col width="16" customWidth="1" min="3" max="3"/>
    <col width="8" customWidth="1" min="4" max="4"/>
    <col width="12" customWidth="1" min="5" max="5"/>
    <col width="12" customWidth="1" min="6" max="6"/>
    <col width="46" customWidth="1" min="7" max="7"/>
  </cols>
  <sheetData>
    <row r="1" ht="34" customHeight="1">
      <c r="A1" s="9" t="inlineStr">
        <is>
          <t>archivo</t>
        </is>
      </c>
      <c r="B1" s="9" t="inlineStr">
        <is>
          <t>tipo</t>
        </is>
      </c>
      <c r="C1" s="9" t="inlineStr">
        <is>
          <t>minuta_origen</t>
        </is>
      </c>
      <c r="D1" s="9" t="inlineStr">
        <is>
          <t>pagina</t>
        </is>
      </c>
      <c r="E1" s="9" t="inlineStr">
        <is>
          <t>credenciales_ocultas</t>
        </is>
      </c>
      <c r="F1" s="9" t="inlineStr">
        <is>
          <t>es_contraejemplo</t>
        </is>
      </c>
      <c r="G1" s="9" t="inlineStr">
        <is>
          <t>nota</t>
        </is>
      </c>
    </row>
    <row r="2">
      <c r="A2" s="10" t="inlineStr">
        <is>
          <t>imagenes/speedtest/speedtest_01.jpg</t>
        </is>
      </c>
      <c r="B2" s="10" t="inlineStr">
        <is>
          <t>speedtest</t>
        </is>
      </c>
      <c r="C2" s="10" t="inlineStr">
        <is>
          <t>barrio.pdf</t>
        </is>
      </c>
      <c r="D2" s="10" t="n">
        <v>1</v>
      </c>
      <c r="E2" s="10" t="inlineStr">
        <is>
          <t>No</t>
        </is>
      </c>
      <c r="F2" s="10" t="inlineStr">
        <is>
          <t>No</t>
        </is>
      </c>
      <c r="G2" s="10" t="inlineStr"/>
    </row>
    <row r="3">
      <c r="A3" s="10" t="inlineStr">
        <is>
          <t>imagenes/speedtest/speedtest_02.jpg</t>
        </is>
      </c>
      <c r="B3" s="10" t="inlineStr">
        <is>
          <t>speedtest</t>
        </is>
      </c>
      <c r="C3" s="10" t="inlineStr">
        <is>
          <t>rock.pdf</t>
        </is>
      </c>
      <c r="D3" s="10" t="n">
        <v>6</v>
      </c>
      <c r="E3" s="10" t="inlineStr">
        <is>
          <t>No</t>
        </is>
      </c>
      <c r="F3" s="10" t="inlineStr">
        <is>
          <t>No</t>
        </is>
      </c>
      <c r="G3" s="10" t="inlineStr"/>
    </row>
    <row r="4">
      <c r="A4" s="10" t="inlineStr">
        <is>
          <t>imagenes/ipconfig/ipconfig_01.jpg</t>
        </is>
      </c>
      <c r="B4" s="10" t="inlineStr">
        <is>
          <t>ipconfig</t>
        </is>
      </c>
      <c r="C4" s="10" t="inlineStr">
        <is>
          <t>rock.pdf</t>
        </is>
      </c>
      <c r="D4" s="10" t="n">
        <v>6</v>
      </c>
      <c r="E4" s="10" t="inlineStr">
        <is>
          <t>No</t>
        </is>
      </c>
      <c r="F4" s="10" t="inlineStr">
        <is>
          <t>No</t>
        </is>
      </c>
      <c r="G4" s="10" t="inlineStr"/>
    </row>
    <row r="5">
      <c r="A5" s="10" t="inlineStr">
        <is>
          <t>imagenes/escaner_ip/escaner_ip_01.jpg</t>
        </is>
      </c>
      <c r="B5" s="10" t="inlineStr">
        <is>
          <t>escaner_ip</t>
        </is>
      </c>
      <c r="C5" s="10" t="inlineStr">
        <is>
          <t>rock.pdf</t>
        </is>
      </c>
      <c r="D5" s="10" t="n">
        <v>7</v>
      </c>
      <c r="E5" s="10" t="inlineStr">
        <is>
          <t>No</t>
        </is>
      </c>
      <c r="F5" s="10" t="inlineStr">
        <is>
          <t>No</t>
        </is>
      </c>
      <c r="G5" s="10" t="inlineStr"/>
    </row>
    <row r="6">
      <c r="A6" s="10" t="inlineStr">
        <is>
          <t>imagenes/router_ubicacion/router_ubicacion_01.jpg</t>
        </is>
      </c>
      <c r="B6" s="10" t="inlineStr">
        <is>
          <t>router_ubicacion</t>
        </is>
      </c>
      <c r="C6" s="10" t="inlineStr">
        <is>
          <t>donoscar.pdf</t>
        </is>
      </c>
      <c r="D6" s="10" t="n">
        <v>1</v>
      </c>
      <c r="E6" s="10" t="inlineStr">
        <is>
          <t>No</t>
        </is>
      </c>
      <c r="F6" s="10" t="inlineStr">
        <is>
          <t>No</t>
        </is>
      </c>
      <c r="G6" s="10" t="inlineStr"/>
    </row>
    <row r="7">
      <c r="A7" s="10" t="inlineStr">
        <is>
          <t>imagenes/router_ubicacion/router_ubicacion_02.jpg</t>
        </is>
      </c>
      <c r="B7" s="10" t="inlineStr">
        <is>
          <t>router_ubicacion</t>
        </is>
      </c>
      <c r="C7" s="10" t="inlineStr">
        <is>
          <t>donoscar.pdf</t>
        </is>
      </c>
      <c r="D7" s="10" t="n">
        <v>1</v>
      </c>
      <c r="E7" s="10" t="inlineStr">
        <is>
          <t>No</t>
        </is>
      </c>
      <c r="F7" s="10" t="inlineStr">
        <is>
          <t>No</t>
        </is>
      </c>
      <c r="G7" s="10" t="inlineStr"/>
    </row>
    <row r="8">
      <c r="A8" s="10" t="inlineStr">
        <is>
          <t>imagenes/router_ubicacion/router_ubicacion_03.jpg</t>
        </is>
      </c>
      <c r="B8" s="10" t="inlineStr">
        <is>
          <t>router_ubicacion</t>
        </is>
      </c>
      <c r="C8" s="10" t="inlineStr">
        <is>
          <t>donoscar.pdf</t>
        </is>
      </c>
      <c r="D8" s="10" t="n">
        <v>1</v>
      </c>
      <c r="E8" s="10" t="inlineStr">
        <is>
          <t>No</t>
        </is>
      </c>
      <c r="F8" s="10" t="inlineStr">
        <is>
          <t>No</t>
        </is>
      </c>
      <c r="G8" s="10" t="inlineStr"/>
    </row>
    <row r="9">
      <c r="A9" s="10" t="inlineStr">
        <is>
          <t>imagenes/router_ubicacion/router_ubicacion_04.jpg</t>
        </is>
      </c>
      <c r="B9" s="10" t="inlineStr">
        <is>
          <t>router_ubicacion</t>
        </is>
      </c>
      <c r="C9" s="10" t="inlineStr">
        <is>
          <t>rock.pdf</t>
        </is>
      </c>
      <c r="D9" s="10" t="n">
        <v>6</v>
      </c>
      <c r="E9" s="10" t="inlineStr">
        <is>
          <t>No</t>
        </is>
      </c>
      <c r="F9" s="10" t="inlineStr">
        <is>
          <t>No</t>
        </is>
      </c>
      <c r="G9" s="10" t="inlineStr"/>
    </row>
    <row r="10">
      <c r="A10" s="10" t="inlineStr">
        <is>
          <t>imagenes/router_puertos/router_puertos_01.jpg</t>
        </is>
      </c>
      <c r="B10" s="10" t="inlineStr">
        <is>
          <t>router_puertos</t>
        </is>
      </c>
      <c r="C10" s="10" t="inlineStr">
        <is>
          <t>donoscar.pdf</t>
        </is>
      </c>
      <c r="D10" s="10" t="n">
        <v>2</v>
      </c>
      <c r="E10" s="10" t="inlineStr">
        <is>
          <t>No</t>
        </is>
      </c>
      <c r="F10" s="10" t="inlineStr">
        <is>
          <t>No</t>
        </is>
      </c>
      <c r="G10" s="10" t="inlineStr"/>
    </row>
    <row r="11">
      <c r="A11" s="10" t="inlineStr">
        <is>
          <t>imagenes/router_etiqueta/router_etiqueta_01.jpg</t>
        </is>
      </c>
      <c r="B11" s="10" t="inlineStr">
        <is>
          <t>router_etiqueta</t>
        </is>
      </c>
      <c r="C11" s="10" t="inlineStr">
        <is>
          <t>rock.pdf</t>
        </is>
      </c>
      <c r="D11" s="10" t="n">
        <v>6</v>
      </c>
      <c r="E11" s="10" t="inlineStr">
        <is>
          <t>Sí</t>
        </is>
      </c>
      <c r="F11" s="10" t="inlineStr">
        <is>
          <t>No</t>
        </is>
      </c>
      <c r="G11" s="10" t="inlineStr"/>
    </row>
    <row r="12">
      <c r="A12" s="10" t="inlineStr">
        <is>
          <t>imagenes/impresora_etiqueta/impresora_etiqueta_01.jpg</t>
        </is>
      </c>
      <c r="B12" s="10" t="inlineStr">
        <is>
          <t>impresora_etiqueta</t>
        </is>
      </c>
      <c r="C12" s="10" t="inlineStr">
        <is>
          <t>rock.pdf</t>
        </is>
      </c>
      <c r="D12" s="10" t="n">
        <v>5</v>
      </c>
      <c r="E12" s="10" t="inlineStr">
        <is>
          <t>No</t>
        </is>
      </c>
      <c r="F12" s="10" t="inlineStr">
        <is>
          <t>No</t>
        </is>
      </c>
      <c r="G12" s="10" t="inlineStr"/>
    </row>
    <row r="13">
      <c r="A13" s="10" t="inlineStr">
        <is>
          <t>imagenes/impresora_etiqueta/impresora_etiqueta_02.jpg</t>
        </is>
      </c>
      <c r="B13" s="10" t="inlineStr">
        <is>
          <t>impresora_etiqueta</t>
        </is>
      </c>
      <c r="C13" s="10" t="inlineStr">
        <is>
          <t>rock.pdf</t>
        </is>
      </c>
      <c r="D13" s="10" t="n">
        <v>5</v>
      </c>
      <c r="E13" s="10" t="inlineStr">
        <is>
          <t>No</t>
        </is>
      </c>
      <c r="F13" s="10" t="inlineStr">
        <is>
          <t>No</t>
        </is>
      </c>
      <c r="G13" s="10" t="inlineStr"/>
    </row>
    <row r="14">
      <c r="A14" s="10" t="inlineStr">
        <is>
          <t>imagenes/impresora_conexiones/impresora_conexiones_01.jpg</t>
        </is>
      </c>
      <c r="B14" s="10" t="inlineStr">
        <is>
          <t>impresora_conexiones</t>
        </is>
      </c>
      <c r="C14" s="10" t="inlineStr">
        <is>
          <t>rock.pdf</t>
        </is>
      </c>
      <c r="D14" s="10" t="n">
        <v>5</v>
      </c>
      <c r="E14" s="10" t="inlineStr">
        <is>
          <t>No</t>
        </is>
      </c>
      <c r="F14" s="10" t="inlineStr">
        <is>
          <t>No</t>
        </is>
      </c>
      <c r="G14" s="10" t="inlineStr"/>
    </row>
    <row r="15">
      <c r="A15" s="10" t="inlineStr">
        <is>
          <t>imagenes/impresora_selftest/impresora_selftest_01.jpg</t>
        </is>
      </c>
      <c r="B15" s="10" t="inlineStr">
        <is>
          <t>impresora_selftest</t>
        </is>
      </c>
      <c r="C15" s="10" t="inlineStr">
        <is>
          <t>rock.pdf</t>
        </is>
      </c>
      <c r="D15" s="10" t="n">
        <v>5</v>
      </c>
      <c r="E15" s="10" t="inlineStr">
        <is>
          <t>No</t>
        </is>
      </c>
      <c r="F15" s="10" t="inlineStr">
        <is>
          <t>No</t>
        </is>
      </c>
      <c r="G15" s="10" t="inlineStr"/>
    </row>
    <row r="16">
      <c r="A16" s="10" t="inlineStr">
        <is>
          <t>imagenes/frontis/frontis_01.jpg</t>
        </is>
      </c>
      <c r="B16" s="10" t="inlineStr">
        <is>
          <t>frontis</t>
        </is>
      </c>
      <c r="C16" s="10" t="inlineStr">
        <is>
          <t>rock.pdf</t>
        </is>
      </c>
      <c r="D16" s="10" t="n">
        <v>4</v>
      </c>
      <c r="E16" s="10" t="inlineStr">
        <is>
          <t>No</t>
        </is>
      </c>
      <c r="F16" s="10" t="inlineStr">
        <is>
          <t>No</t>
        </is>
      </c>
      <c r="G16" s="10" t="inlineStr"/>
    </row>
    <row r="17">
      <c r="A17" s="10" t="inlineStr">
        <is>
          <t>imagenes/zona_atencion/zona_atencion_01.jpg</t>
        </is>
      </c>
      <c r="B17" s="10" t="inlineStr">
        <is>
          <t>zona_atencion</t>
        </is>
      </c>
      <c r="C17" s="10" t="inlineStr">
        <is>
          <t>rock.pdf</t>
        </is>
      </c>
      <c r="D17" s="10" t="n">
        <v>4</v>
      </c>
      <c r="E17" s="10" t="inlineStr">
        <is>
          <t>No</t>
        </is>
      </c>
      <c r="F17" s="10" t="inlineStr">
        <is>
          <t>No</t>
        </is>
      </c>
      <c r="G17" s="10" t="inlineStr"/>
    </row>
    <row r="18">
      <c r="A18" s="10" t="inlineStr">
        <is>
          <t>imagenes/zona_atencion/zona_atencion_02.jpg</t>
        </is>
      </c>
      <c r="B18" s="10" t="inlineStr">
        <is>
          <t>zona_atencion</t>
        </is>
      </c>
      <c r="C18" s="10" t="inlineStr">
        <is>
          <t>rock.pdf</t>
        </is>
      </c>
      <c r="D18" s="10" t="n">
        <v>4</v>
      </c>
      <c r="E18" s="10" t="inlineStr">
        <is>
          <t>No</t>
        </is>
      </c>
      <c r="F18" s="10" t="inlineStr">
        <is>
          <t>No</t>
        </is>
      </c>
      <c r="G18" s="10" t="inlineStr"/>
    </row>
    <row r="19">
      <c r="A19" s="10" t="inlineStr">
        <is>
          <t>imagenes/zona_atencion/zona_atencion_03.jpg</t>
        </is>
      </c>
      <c r="B19" s="10" t="inlineStr">
        <is>
          <t>zona_atencion</t>
        </is>
      </c>
      <c r="C19" s="10" t="inlineStr">
        <is>
          <t>barrio.pdf</t>
        </is>
      </c>
      <c r="D19" s="10" t="n">
        <v>2</v>
      </c>
      <c r="E19" s="10" t="inlineStr">
        <is>
          <t>No</t>
        </is>
      </c>
      <c r="F19" s="10" t="inlineStr">
        <is>
          <t>No</t>
        </is>
      </c>
      <c r="G19" s="10" t="inlineStr"/>
    </row>
    <row r="20">
      <c r="A20" s="10" t="inlineStr">
        <is>
          <t>imagenes/zona_atencion/zona_atencion_04.jpg</t>
        </is>
      </c>
      <c r="B20" s="10" t="inlineStr">
        <is>
          <t>zona_atencion</t>
        </is>
      </c>
      <c r="C20" s="10" t="inlineStr">
        <is>
          <t>sicilia.pdf</t>
        </is>
      </c>
      <c r="D20" s="10" t="n">
        <v>3</v>
      </c>
      <c r="E20" s="10" t="inlineStr">
        <is>
          <t>No</t>
        </is>
      </c>
      <c r="F20" s="10" t="inlineStr">
        <is>
          <t>No</t>
        </is>
      </c>
      <c r="G20" s="10" t="inlineStr"/>
    </row>
    <row r="21">
      <c r="A21" s="10" t="inlineStr">
        <is>
          <t>imagenes/zona_atencion/zona_atencion_05.jpg</t>
        </is>
      </c>
      <c r="B21" s="10" t="inlineStr">
        <is>
          <t>zona_atencion</t>
        </is>
      </c>
      <c r="C21" s="10" t="inlineStr">
        <is>
          <t>sicilia.pdf</t>
        </is>
      </c>
      <c r="D21" s="10" t="n">
        <v>3</v>
      </c>
      <c r="E21" s="10" t="inlineStr">
        <is>
          <t>No</t>
        </is>
      </c>
      <c r="F21" s="10" t="inlineStr">
        <is>
          <t>No</t>
        </is>
      </c>
      <c r="G21" s="10" t="inlineStr"/>
    </row>
    <row r="22">
      <c r="A22" s="10" t="inlineStr">
        <is>
          <t>imagenes/lugar_preparacion/lugar_preparacion_01.jpg</t>
        </is>
      </c>
      <c r="B22" s="10" t="inlineStr">
        <is>
          <t>lugar_preparacion</t>
        </is>
      </c>
      <c r="C22" s="10" t="inlineStr">
        <is>
          <t>sicilia.pdf</t>
        </is>
      </c>
      <c r="D22" s="10" t="n">
        <v>3</v>
      </c>
      <c r="E22" s="10" t="inlineStr">
        <is>
          <t>No</t>
        </is>
      </c>
      <c r="F22" s="10" t="inlineStr">
        <is>
          <t>No</t>
        </is>
      </c>
      <c r="G22" s="10" t="inlineStr"/>
    </row>
    <row r="23">
      <c r="A23" s="10" t="inlineStr">
        <is>
          <t>imagenes/lugar_preparacion/lugar_preparacion_02.jpg</t>
        </is>
      </c>
      <c r="B23" s="10" t="inlineStr">
        <is>
          <t>lugar_preparacion</t>
        </is>
      </c>
      <c r="C23" s="10" t="inlineStr">
        <is>
          <t>sicilia.pdf</t>
        </is>
      </c>
      <c r="D23" s="10" t="n">
        <v>3</v>
      </c>
      <c r="E23" s="10" t="inlineStr">
        <is>
          <t>No</t>
        </is>
      </c>
      <c r="F23" s="10" t="inlineStr">
        <is>
          <t>No</t>
        </is>
      </c>
      <c r="G23" s="10" t="inlineStr"/>
    </row>
    <row r="24">
      <c r="A24" s="10" t="inlineStr">
        <is>
          <t>imagenes/caja/caja_01.jpg</t>
        </is>
      </c>
      <c r="B24" s="10" t="inlineStr">
        <is>
          <t>caja</t>
        </is>
      </c>
      <c r="C24" s="10" t="inlineStr">
        <is>
          <t>donoscar.pdf</t>
        </is>
      </c>
      <c r="D24" s="10" t="n">
        <v>1</v>
      </c>
      <c r="E24" s="10" t="inlineStr">
        <is>
          <t>No</t>
        </is>
      </c>
      <c r="F24" s="10" t="inlineStr">
        <is>
          <t>No</t>
        </is>
      </c>
      <c r="G24" s="10" t="inlineStr"/>
    </row>
    <row r="25">
      <c r="A25" s="10" t="inlineStr">
        <is>
          <t>imagenes/caja/caja_02.jpg</t>
        </is>
      </c>
      <c r="B25" s="10" t="inlineStr">
        <is>
          <t>caja</t>
        </is>
      </c>
      <c r="C25" s="10" t="inlineStr">
        <is>
          <t>barrio.pdf</t>
        </is>
      </c>
      <c r="D25" s="10" t="n">
        <v>2</v>
      </c>
      <c r="E25" s="10" t="inlineStr">
        <is>
          <t>No</t>
        </is>
      </c>
      <c r="F25" s="10" t="inlineStr">
        <is>
          <t>No</t>
        </is>
      </c>
      <c r="G25" s="10" t="inlineStr"/>
    </row>
    <row r="26">
      <c r="A26" s="10" t="inlineStr">
        <is>
          <t>imagenes/caja/caja_03.jpg</t>
        </is>
      </c>
      <c r="B26" s="10" t="inlineStr">
        <is>
          <t>caja</t>
        </is>
      </c>
      <c r="C26" s="10" t="inlineStr">
        <is>
          <t>rock.pdf</t>
        </is>
      </c>
      <c r="D26" s="10" t="n">
        <v>8</v>
      </c>
      <c r="E26" s="10" t="inlineStr">
        <is>
          <t>No</t>
        </is>
      </c>
      <c r="F26" s="10" t="inlineStr">
        <is>
          <t>No</t>
        </is>
      </c>
      <c r="G26" s="10" t="inlineStr"/>
    </row>
    <row r="27">
      <c r="A27" s="10" t="inlineStr">
        <is>
          <t>imagenes/caja/caja_04.jpg</t>
        </is>
      </c>
      <c r="B27" s="10" t="inlineStr">
        <is>
          <t>caja</t>
        </is>
      </c>
      <c r="C27" s="10" t="inlineStr">
        <is>
          <t>rock.pdf</t>
        </is>
      </c>
      <c r="D27" s="10" t="n">
        <v>8</v>
      </c>
      <c r="E27" s="10" t="inlineStr">
        <is>
          <t>No</t>
        </is>
      </c>
      <c r="F27" s="10" t="inlineStr">
        <is>
          <t>No</t>
        </is>
      </c>
      <c r="G27" s="10" t="inlineStr"/>
    </row>
    <row r="28">
      <c r="A28" s="10" t="inlineStr">
        <is>
          <t>imagenes/anydesk/anydesk_01.jpg</t>
        </is>
      </c>
      <c r="B28" s="10" t="inlineStr">
        <is>
          <t>anydesk</t>
        </is>
      </c>
      <c r="C28" s="10" t="inlineStr">
        <is>
          <t>rock.pdf</t>
        </is>
      </c>
      <c r="D28" s="10" t="n">
        <v>3</v>
      </c>
      <c r="E28" s="10" t="inlineStr">
        <is>
          <t>Sí</t>
        </is>
      </c>
      <c r="F28" s="10" t="inlineStr">
        <is>
          <t>No</t>
        </is>
      </c>
      <c r="G28" s="10" t="inlineStr"/>
    </row>
    <row r="29">
      <c r="A29" s="10" t="inlineStr">
        <is>
          <t>imagenes/anydesk/anydesk_02.jpg</t>
        </is>
      </c>
      <c r="B29" s="10" t="inlineStr">
        <is>
          <t>anydesk</t>
        </is>
      </c>
      <c r="C29" s="10" t="inlineStr">
        <is>
          <t>rock.pdf</t>
        </is>
      </c>
      <c r="D29" s="10" t="n">
        <v>3</v>
      </c>
      <c r="E29" s="10" t="inlineStr">
        <is>
          <t>No</t>
        </is>
      </c>
      <c r="F29" s="10" t="inlineStr">
        <is>
          <t>No</t>
        </is>
      </c>
      <c r="G29" s="10" t="inlineStr"/>
    </row>
    <row r="30">
      <c r="A30" s="10" t="inlineStr">
        <is>
          <t>imagenes/equipo_caja_datos/equipo_caja_datos_01.jpg</t>
        </is>
      </c>
      <c r="B30" s="10" t="inlineStr">
        <is>
          <t>equipo_caja_datos</t>
        </is>
      </c>
      <c r="C30" s="10" t="inlineStr">
        <is>
          <t>rock.pdf</t>
        </is>
      </c>
      <c r="D30" s="10" t="n">
        <v>8</v>
      </c>
      <c r="E30" s="10" t="inlineStr">
        <is>
          <t>Sí</t>
        </is>
      </c>
      <c r="F30" s="10" t="inlineStr">
        <is>
          <t>No</t>
        </is>
      </c>
      <c r="G30" s="10" t="inlineStr"/>
    </row>
    <row r="31">
      <c r="A31" s="10" t="inlineStr">
        <is>
          <t>imagenes/tablet_datos/tablet_datos_01.jpg</t>
        </is>
      </c>
      <c r="B31" s="10" t="inlineStr">
        <is>
          <t>tablet_datos</t>
        </is>
      </c>
      <c r="C31" s="10" t="inlineStr">
        <is>
          <t>rock.pdf</t>
        </is>
      </c>
      <c r="D31" s="10" t="n">
        <v>8</v>
      </c>
      <c r="E31" s="10" t="inlineStr">
        <is>
          <t>No</t>
        </is>
      </c>
      <c r="F31" s="10" t="inlineStr">
        <is>
          <t>No</t>
        </is>
      </c>
      <c r="G31" s="10" t="inlineStr"/>
    </row>
    <row r="32">
      <c r="A32" s="10" t="inlineStr">
        <is>
          <t>imagenes/tablet_datos/tablet_datos_02.jpg</t>
        </is>
      </c>
      <c r="B32" s="10" t="inlineStr">
        <is>
          <t>tablet_datos</t>
        </is>
      </c>
      <c r="C32" s="10" t="inlineStr">
        <is>
          <t>rock.pdf</t>
        </is>
      </c>
      <c r="D32" s="10" t="n">
        <v>8</v>
      </c>
      <c r="E32" s="10" t="inlineStr">
        <is>
          <t>No</t>
        </is>
      </c>
      <c r="F32" s="10" t="inlineStr">
        <is>
          <t>No</t>
        </is>
      </c>
      <c r="G32" s="10" t="inlineStr"/>
    </row>
    <row r="33">
      <c r="A33" s="10" t="inlineStr">
        <is>
          <t>imagenes/gabinete/gabinete_01.jpg</t>
        </is>
      </c>
      <c r="B33" s="10" t="inlineStr">
        <is>
          <t>gabinete</t>
        </is>
      </c>
      <c r="C33" s="10" t="inlineStr">
        <is>
          <t>sicilia.pdf</t>
        </is>
      </c>
      <c r="D33" s="10" t="n">
        <v>2</v>
      </c>
      <c r="E33" s="10" t="inlineStr">
        <is>
          <t>No</t>
        </is>
      </c>
      <c r="F33" s="10" t="inlineStr">
        <is>
          <t>No</t>
        </is>
      </c>
      <c r="G33" s="10" t="inlineStr"/>
    </row>
    <row r="34">
      <c r="A34" s="10" t="inlineStr">
        <is>
          <t>imagenes/cableado_energia/cableado_energia_01.jpg</t>
        </is>
      </c>
      <c r="B34" s="10" t="inlineStr">
        <is>
          <t>cableado_energia</t>
        </is>
      </c>
      <c r="C34" s="10" t="inlineStr">
        <is>
          <t>donoscar.pdf</t>
        </is>
      </c>
      <c r="D34" s="10" t="n">
        <v>2</v>
      </c>
      <c r="E34" s="10" t="inlineStr">
        <is>
          <t>No</t>
        </is>
      </c>
      <c r="F34" s="10" t="inlineStr">
        <is>
          <t>No</t>
        </is>
      </c>
      <c r="G34" s="10" t="inlineStr"/>
    </row>
    <row r="35">
      <c r="A35" s="10" t="inlineStr">
        <is>
          <t>imagenes/cableado_energia/cableado_energia_02.jpg</t>
        </is>
      </c>
      <c r="B35" s="10" t="inlineStr">
        <is>
          <t>cableado_energia</t>
        </is>
      </c>
      <c r="C35" s="10" t="inlineStr">
        <is>
          <t>donoscar.pdf</t>
        </is>
      </c>
      <c r="D35" s="10" t="n">
        <v>2</v>
      </c>
      <c r="E35" s="10" t="inlineStr">
        <is>
          <t>No</t>
        </is>
      </c>
      <c r="F35" s="10" t="inlineStr">
        <is>
          <t>No</t>
        </is>
      </c>
      <c r="G35" s="10" t="inlineStr"/>
    </row>
    <row r="36">
      <c r="A36" s="10" t="inlineStr">
        <is>
          <t>imagenes/cableado_energia/cableado_energia_03.jpg</t>
        </is>
      </c>
      <c r="B36" s="10" t="inlineStr">
        <is>
          <t>cableado_energia</t>
        </is>
      </c>
      <c r="C36" s="10" t="inlineStr">
        <is>
          <t>donoscar.pdf</t>
        </is>
      </c>
      <c r="D36" s="10" t="n">
        <v>2</v>
      </c>
      <c r="E36" s="10" t="inlineStr">
        <is>
          <t>No</t>
        </is>
      </c>
      <c r="F36" s="10" t="inlineStr">
        <is>
          <t>No</t>
        </is>
      </c>
      <c r="G36" s="10" t="inlineStr"/>
    </row>
    <row r="37">
      <c r="A37" s="10" t="inlineStr">
        <is>
          <t>imagenes/equipo_red_en_mano/equipo_red_en_mano_01.jpg</t>
        </is>
      </c>
      <c r="B37" s="10" t="inlineStr">
        <is>
          <t>equipo_red_en_mano</t>
        </is>
      </c>
      <c r="C37" s="10" t="inlineStr">
        <is>
          <t>donoscar.pdf</t>
        </is>
      </c>
      <c r="D37" s="10" t="n">
        <v>2</v>
      </c>
      <c r="E37" s="10" t="inlineStr">
        <is>
          <t>No</t>
        </is>
      </c>
      <c r="F37" s="10" t="inlineStr">
        <is>
          <t>No</t>
        </is>
      </c>
      <c r="G37" s="10" t="inlineStr"/>
    </row>
    <row r="38">
      <c r="A38" s="10" t="inlineStr">
        <is>
          <t>imagenes/access_point_techo/access_point_techo_01.jpg</t>
        </is>
      </c>
      <c r="B38" s="10" t="inlineStr">
        <is>
          <t>access_point_techo</t>
        </is>
      </c>
      <c r="C38" s="10" t="inlineStr">
        <is>
          <t>barrio.pdf</t>
        </is>
      </c>
      <c r="D38" s="10" t="n">
        <v>2</v>
      </c>
      <c r="E38" s="10" t="inlineStr">
        <is>
          <t>No</t>
        </is>
      </c>
      <c r="F38" s="10" t="inlineStr">
        <is>
          <t>No</t>
        </is>
      </c>
      <c r="G38" s="10" t="inlineStr"/>
    </row>
    <row r="39">
      <c r="A39" s="10" t="inlineStr">
        <is>
          <t>imagenes/camaras_monitor/camaras_monitor_01.jpg</t>
        </is>
      </c>
      <c r="B39" s="10" t="inlineStr">
        <is>
          <t>camaras_monitor</t>
        </is>
      </c>
      <c r="C39" s="10" t="inlineStr">
        <is>
          <t>barrio.pdf</t>
        </is>
      </c>
      <c r="D39" s="10" t="n">
        <v>2</v>
      </c>
      <c r="E39" s="10" t="inlineStr">
        <is>
          <t>No</t>
        </is>
      </c>
      <c r="F39" s="10" t="inlineStr">
        <is>
          <t>No</t>
        </is>
      </c>
      <c r="G39" s="10" t="inlineStr"/>
    </row>
    <row r="40">
      <c r="A40" s="10" t="inlineStr">
        <is>
          <t>imagenes/topologia/topologia_01.jpg</t>
        </is>
      </c>
      <c r="B40" s="10" t="inlineStr">
        <is>
          <t>topologia</t>
        </is>
      </c>
      <c r="C40" s="10" t="inlineStr">
        <is>
          <t>barrio.pdf</t>
        </is>
      </c>
      <c r="D40" s="10" t="n">
        <v>3</v>
      </c>
      <c r="E40" s="10" t="inlineStr">
        <is>
          <t>No</t>
        </is>
      </c>
      <c r="F40" s="10" t="inlineStr">
        <is>
          <t>No</t>
        </is>
      </c>
      <c r="G40" s="10" t="inlineStr"/>
    </row>
    <row r="41">
      <c r="A41" s="10" t="inlineStr">
        <is>
          <t>imagenes/topologia/topologia_02.jpg</t>
        </is>
      </c>
      <c r="B41" s="10" t="inlineStr">
        <is>
          <t>topologia</t>
        </is>
      </c>
      <c r="C41" s="10" t="inlineStr">
        <is>
          <t>donoscar.pdf</t>
        </is>
      </c>
      <c r="D41" s="10" t="n">
        <v>3</v>
      </c>
      <c r="E41" s="10" t="inlineStr">
        <is>
          <t>No</t>
        </is>
      </c>
      <c r="F41" s="10" t="inlineStr">
        <is>
          <t>No</t>
        </is>
      </c>
      <c r="G41" s="10" t="inlineStr"/>
    </row>
    <row r="42">
      <c r="A42" s="10" t="inlineStr">
        <is>
          <t>imagenes/topologia/topologia_03.jpg</t>
        </is>
      </c>
      <c r="B42" s="10" t="inlineStr">
        <is>
          <t>topologia</t>
        </is>
      </c>
      <c r="C42" s="10" t="inlineStr">
        <is>
          <t>sicilia.pdf</t>
        </is>
      </c>
      <c r="D42" s="10" t="n">
        <v>2</v>
      </c>
      <c r="E42" s="10" t="inlineStr">
        <is>
          <t>No</t>
        </is>
      </c>
      <c r="F42" s="10" t="inlineStr">
        <is>
          <t>No</t>
        </is>
      </c>
      <c r="G42" s="10" t="inlineStr"/>
    </row>
    <row r="43">
      <c r="A43" s="10" t="inlineStr">
        <is>
          <t>imagenes/_contraejemplo/_contraejemplo_01.jpg</t>
        </is>
      </c>
      <c r="B43" s="10" t="inlineStr">
        <is>
          <t>_contraejemplo</t>
        </is>
      </c>
      <c r="C43" s="10" t="inlineStr">
        <is>
          <t>sicilia.pdf</t>
        </is>
      </c>
      <c r="D43" s="10" t="n">
        <v>2</v>
      </c>
      <c r="E43" s="10" t="inlineStr">
        <is>
          <t>No</t>
        </is>
      </c>
      <c r="F43" s="10" t="inlineStr">
        <is>
          <t>Sí</t>
        </is>
      </c>
      <c r="G43" s="10" t="inlineStr">
        <is>
          <t>Despensa/almacén (no es lugar de preparación ni zona)</t>
        </is>
      </c>
    </row>
    <row r="44">
      <c r="A44" s="10" t="inlineStr">
        <is>
          <t>imagenes/_contraejemplo/_contraejemplo_02.jpg</t>
        </is>
      </c>
      <c r="B44" s="10" t="inlineStr">
        <is>
          <t>_contraejemplo</t>
        </is>
      </c>
      <c r="C44" s="10" t="inlineStr">
        <is>
          <t>rock.pdf</t>
        </is>
      </c>
      <c r="D44" s="10" t="n">
        <v>7</v>
      </c>
      <c r="E44" s="10" t="inlineStr">
        <is>
          <t>No</t>
        </is>
      </c>
      <c r="F44" s="10" t="inlineStr">
        <is>
          <t>Sí</t>
        </is>
      </c>
      <c r="G44" s="10" t="inlineStr">
        <is>
          <t>Pared/baño (no es evidencia de red)</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G1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6" customWidth="1" min="3" max="3"/>
    <col width="6" customWidth="1" min="4" max="4"/>
    <col width="6" customWidth="1" min="5" max="5"/>
    <col width="6" customWidth="1" min="6" max="6"/>
    <col width="14" customWidth="1" min="7" max="7"/>
  </cols>
  <sheetData>
    <row r="1" ht="34" customHeight="1">
      <c r="A1" s="9" t="inlineStr">
        <is>
          <t>regla</t>
        </is>
      </c>
      <c r="B1" s="9" t="inlineStr">
        <is>
          <t>n</t>
        </is>
      </c>
      <c r="C1" s="9" t="inlineStr">
        <is>
          <t>TP</t>
        </is>
      </c>
      <c r="D1" s="9" t="inlineStr">
        <is>
          <t>TN</t>
        </is>
      </c>
      <c r="E1" s="9" t="inlineStr">
        <is>
          <t>FP</t>
        </is>
      </c>
      <c r="F1" s="9" t="inlineStr">
        <is>
          <t>FN</t>
        </is>
      </c>
      <c r="G1" s="9" t="inlineStr">
        <is>
          <t>coincidencia_%</t>
        </is>
      </c>
    </row>
    <row r="2">
      <c r="A2" s="10" t="inlineStr">
        <is>
          <t>R56</t>
        </is>
      </c>
      <c r="B2" s="10" t="n">
        <v>16</v>
      </c>
      <c r="C2" s="10" t="n">
        <v>2</v>
      </c>
      <c r="D2" s="10" t="n">
        <v>11</v>
      </c>
      <c r="E2" s="10" t="n">
        <v>1</v>
      </c>
      <c r="F2" s="10" t="n">
        <v>2</v>
      </c>
      <c r="G2" s="10" t="n">
        <v>81</v>
      </c>
    </row>
    <row r="3">
      <c r="A3" s="10" t="inlineStr">
        <is>
          <t>R02</t>
        </is>
      </c>
      <c r="B3" s="10" t="n">
        <v>20</v>
      </c>
      <c r="C3" s="10" t="n">
        <v>2</v>
      </c>
      <c r="D3" s="10" t="n">
        <v>14</v>
      </c>
      <c r="E3" s="10" t="n">
        <v>1</v>
      </c>
      <c r="F3" s="10" t="n">
        <v>3</v>
      </c>
      <c r="G3" s="10" t="n">
        <v>80</v>
      </c>
    </row>
    <row r="4">
      <c r="A4" s="10" t="inlineStr">
        <is>
          <t>R47</t>
        </is>
      </c>
      <c r="B4" s="10" t="n">
        <v>23</v>
      </c>
      <c r="C4" s="10" t="n">
        <v>3</v>
      </c>
      <c r="D4" s="10" t="n">
        <v>18</v>
      </c>
      <c r="E4" s="10" t="n">
        <v>2</v>
      </c>
      <c r="F4" s="10" t="n">
        <v>0</v>
      </c>
      <c r="G4" s="10" t="n">
        <v>91</v>
      </c>
    </row>
    <row r="5">
      <c r="A5" s="10" t="inlineStr">
        <is>
          <t>R16</t>
        </is>
      </c>
      <c r="B5" s="10" t="n">
        <v>4</v>
      </c>
      <c r="C5" s="10" t="n">
        <v>3</v>
      </c>
      <c r="D5" s="10" t="n">
        <v>1</v>
      </c>
      <c r="E5" s="10" t="n">
        <v>0</v>
      </c>
      <c r="F5" s="10" t="n">
        <v>0</v>
      </c>
      <c r="G5" s="10" t="n">
        <v>100</v>
      </c>
    </row>
    <row r="6">
      <c r="A6" s="10" t="inlineStr">
        <is>
          <t>R43</t>
        </is>
      </c>
      <c r="B6" s="10" t="n">
        <v>1</v>
      </c>
      <c r="C6" s="10" t="n">
        <v>0</v>
      </c>
      <c r="D6" s="10" t="n">
        <v>1</v>
      </c>
      <c r="E6" s="10" t="n">
        <v>0</v>
      </c>
      <c r="F6" s="10" t="n">
        <v>0</v>
      </c>
      <c r="G6" s="10" t="n">
        <v>100</v>
      </c>
    </row>
    <row r="7">
      <c r="A7" s="10" t="inlineStr">
        <is>
          <t>R51</t>
        </is>
      </c>
      <c r="B7" s="10" t="n">
        <v>4</v>
      </c>
      <c r="C7" s="10" t="n">
        <v>0</v>
      </c>
      <c r="D7" s="10" t="n">
        <v>4</v>
      </c>
      <c r="E7" s="10" t="n">
        <v>0</v>
      </c>
      <c r="F7" s="10" t="n">
        <v>0</v>
      </c>
      <c r="G7" s="10" t="n">
        <v>100</v>
      </c>
    </row>
    <row r="8">
      <c r="A8" s="10" t="inlineStr">
        <is>
          <t>R11</t>
        </is>
      </c>
      <c r="B8" s="10" t="n">
        <v>4</v>
      </c>
      <c r="C8" s="10" t="n">
        <v>3</v>
      </c>
      <c r="D8" s="10" t="n">
        <v>1</v>
      </c>
      <c r="E8" s="10" t="n">
        <v>0</v>
      </c>
      <c r="F8" s="10" t="n">
        <v>0</v>
      </c>
      <c r="G8" s="10" t="n">
        <v>100</v>
      </c>
    </row>
    <row r="9">
      <c r="A9" s="10" t="inlineStr">
        <is>
          <t>R53</t>
        </is>
      </c>
      <c r="B9" s="10" t="n">
        <v>6</v>
      </c>
      <c r="C9" s="10" t="n">
        <v>2</v>
      </c>
      <c r="D9" s="10" t="n">
        <v>0</v>
      </c>
      <c r="E9" s="10" t="n">
        <v>4</v>
      </c>
      <c r="F9" s="10" t="n">
        <v>0</v>
      </c>
      <c r="G9" s="10" t="n">
        <v>33</v>
      </c>
    </row>
    <row r="10">
      <c r="A10" s="10" t="inlineStr">
        <is>
          <t>R10</t>
        </is>
      </c>
      <c r="B10" s="10" t="n">
        <v>44</v>
      </c>
      <c r="C10" s="10" t="n">
        <v>0</v>
      </c>
      <c r="D10" s="10" t="n">
        <v>36</v>
      </c>
      <c r="E10" s="10" t="n">
        <v>7</v>
      </c>
      <c r="F10" s="10" t="n">
        <v>1</v>
      </c>
      <c r="G10" s="10" t="n">
        <v>82</v>
      </c>
    </row>
    <row r="11">
      <c r="A11" s="10" t="inlineStr">
        <is>
          <t>R63</t>
        </is>
      </c>
      <c r="B11" s="10" t="n">
        <v>1</v>
      </c>
      <c r="C11" s="10" t="n">
        <v>1</v>
      </c>
      <c r="D11" s="10" t="n">
        <v>0</v>
      </c>
      <c r="E11" s="10" t="n">
        <v>0</v>
      </c>
      <c r="F11" s="10" t="n">
        <v>0</v>
      </c>
      <c r="G11" s="10" t="n">
        <v>100</v>
      </c>
    </row>
    <row r="12">
      <c r="A12" s="10" t="inlineStr">
        <is>
          <t>R26</t>
        </is>
      </c>
      <c r="B12" s="10" t="n">
        <v>3</v>
      </c>
      <c r="C12" s="10" t="n">
        <v>0</v>
      </c>
      <c r="D12" s="10" t="n">
        <v>1</v>
      </c>
      <c r="E12" s="10" t="n">
        <v>1</v>
      </c>
      <c r="F12" s="10" t="n">
        <v>1</v>
      </c>
      <c r="G12" s="10" t="n">
        <v>33</v>
      </c>
    </row>
    <row r="14">
      <c r="A14" s="17" t="inlineStr">
        <is>
          <t>Total: 103 de 126 decisiones coinciden (81.7 %). Antes de R16: 98 de 126 (77.8 %). Detalle en docs/analisis/PRUEBA_RETROSPECTIVA.md</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K1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6" customWidth="1" min="1" max="1"/>
    <col width="30" customWidth="1" min="2" max="2"/>
    <col width="34" customWidth="1" min="3" max="3"/>
    <col width="30" customWidth="1" min="4" max="4"/>
    <col width="26" customWidth="1" min="5" max="5"/>
    <col width="12" customWidth="1" min="6" max="6"/>
    <col width="44" customWidth="1" min="7" max="7"/>
    <col width="34" customWidth="1" min="8" max="8"/>
    <col width="40" customWidth="1" min="9" max="9"/>
    <col width="36" customWidth="1" min="10" max="10"/>
    <col width="12" customWidth="1" min="11" max="11"/>
  </cols>
  <sheetData>
    <row r="1" ht="34" customHeight="1">
      <c r="A1" s="9" t="inlineStr">
        <is>
          <t>rubro_P09</t>
        </is>
      </c>
      <c r="B1" s="9" t="inlineStr">
        <is>
          <t>etiqueta</t>
        </is>
      </c>
      <c r="C1" s="9" t="inlineStr">
        <is>
          <t>areas_preparacion_sugeridas</t>
        </is>
      </c>
      <c r="D1" s="9" t="inlineStr">
        <is>
          <t>zonas_atencion_sugeridas</t>
        </is>
      </c>
      <c r="E1" s="9" t="inlineStr">
        <is>
          <t>caja_comparte_por_defecto (P12e)</t>
        </is>
      </c>
      <c r="F1" s="9" t="inlineStr">
        <is>
          <t>pisos / cajas por defecto</t>
        </is>
      </c>
      <c r="G1" s="9" t="inlineStr">
        <is>
          <t>preguntas_ocultas</t>
        </is>
      </c>
      <c r="H1" s="9" t="inlineStr">
        <is>
          <t>preguntas_que_se_agregan</t>
        </is>
      </c>
      <c r="I1" s="9" t="inlineStr">
        <is>
          <t>reglas_que_se_activan</t>
        </is>
      </c>
      <c r="J1" s="9" t="inlineStr">
        <is>
          <t>minutas_de_ejemplo</t>
        </is>
      </c>
      <c r="K1" s="9" t="inlineStr">
        <is>
          <t>estado</t>
        </is>
      </c>
    </row>
    <row r="2">
      <c r="A2" s="10" t="inlineStr">
        <is>
          <t>REST_PESCADOS</t>
        </is>
      </c>
      <c r="B2" s="10" t="inlineStr">
        <is>
          <t>Restaurante – Pescados y mariscos</t>
        </is>
      </c>
      <c r="C2" s="10" t="inlineStr">
        <is>
          <t>Cocina, Barra</t>
        </is>
      </c>
      <c r="D2" s="10" t="inlineStr">
        <is>
          <t>Salón 1, Para llevar, Delivery</t>
        </is>
      </c>
      <c r="E2" s="10" t="inlineStr">
        <is>
          <t>Barra (Caja-Barra, una impresora)</t>
        </is>
      </c>
      <c r="F2" s="10" t="inlineStr">
        <is>
          <t>— / 1</t>
        </is>
      </c>
      <c r="G2" s="10" t="inlineStr">
        <is>
          <t>Barras múltiples (Barra 1–3), barra → caja (P12c/P12d)</t>
        </is>
      </c>
      <c r="H2" s="10" t="inlineStr">
        <is>
          <t>P11e, P12e</t>
        </is>
      </c>
      <c r="I2" s="10" t="inlineStr">
        <is>
          <t>—</t>
        </is>
      </c>
      <c r="J2" s="10" t="inlineStr">
        <is>
          <t>Don Oscar, Barrio Pesquero, El Chito, Modonese, Caleta, Don Chalán</t>
        </is>
      </c>
      <c r="K2" s="10" t="inlineStr">
        <is>
          <t>CONFIRMADO</t>
        </is>
      </c>
    </row>
    <row r="3">
      <c r="A3" s="10" t="inlineStr">
        <is>
          <t>REST_ORIENTAL</t>
        </is>
      </c>
      <c r="B3" s="10" t="inlineStr">
        <is>
          <t>Restaurante – Comida oriental (makis, ramen, sushi)</t>
        </is>
      </c>
      <c r="C3" s="10" t="inlineStr">
        <is>
          <t>Cocina, Makis, Ramen, Frituras, Salteados</t>
        </is>
      </c>
      <c r="D3" s="10" t="inlineStr">
        <is>
          <t>Salón 1, Barra, Para llevar, Delivery</t>
        </is>
      </c>
      <c r="E3" s="10" t="inlineStr">
        <is>
          <t>Aparte</t>
        </is>
      </c>
      <c r="F3" s="10" t="inlineStr">
        <is>
          <t>— / 1</t>
        </is>
      </c>
      <c r="G3" s="10" t="inlineStr">
        <is>
          <t>Barras múltiples</t>
        </is>
      </c>
      <c r="H3" s="10" t="inlineStr">
        <is>
          <t>P11e, P12e; impresoras ya armadas (una por área)</t>
        </is>
      </c>
      <c r="I3" s="10" t="inlineStr">
        <is>
          <t>R58 (switch de 1000 Mbps), R20/R53 (cámaras en el mismo switch)</t>
        </is>
      </c>
      <c r="J3" s="10" t="inlineStr">
        <is>
          <t>Shimaya (7), Maki Sam (2), Omakase</t>
        </is>
      </c>
      <c r="K3" s="10" t="inlineStr">
        <is>
          <t>CONFIRMADO</t>
        </is>
      </c>
    </row>
    <row r="4">
      <c r="A4" s="10" t="inlineStr">
        <is>
          <t>RESTAURANTE</t>
        </is>
      </c>
      <c r="B4" s="10" t="inlineStr">
        <is>
          <t>Restaurante (otro tipo de comida)</t>
        </is>
      </c>
      <c r="C4" s="10" t="inlineStr">
        <is>
          <t>Cocina, Barra</t>
        </is>
      </c>
      <c r="D4" s="10" t="inlineStr">
        <is>
          <t>Salón 1, Salón 2, Terraza</t>
        </is>
      </c>
      <c r="E4" s="10" t="inlineStr">
        <is>
          <t>Aparte</t>
        </is>
      </c>
      <c r="F4" s="10" t="inlineStr">
        <is>
          <t>— / 1</t>
        </is>
      </c>
      <c r="G4" s="10" t="inlineStr">
        <is>
          <t>—</t>
        </is>
      </c>
      <c r="H4" s="10" t="inlineStr">
        <is>
          <t>P11e, P12e</t>
        </is>
      </c>
      <c r="I4" s="10" t="inlineStr">
        <is>
          <t>—</t>
        </is>
      </c>
      <c r="J4" s="10" t="inlineStr">
        <is>
          <t>Sicilia, Huambra, Verbena, La Carpita del Sabor</t>
        </is>
      </c>
      <c r="K4" s="10" t="inlineStr">
        <is>
          <t>CONFIRMADO</t>
        </is>
      </c>
    </row>
    <row r="5">
      <c r="A5" s="10" t="inlineStr">
        <is>
          <t>CHIFA</t>
        </is>
      </c>
      <c r="B5" s="10" t="inlineStr">
        <is>
          <t>Chifa</t>
        </is>
      </c>
      <c r="C5" s="10" t="inlineStr">
        <is>
          <t>Cocina (wok), Barra de bebidas</t>
        </is>
      </c>
      <c r="D5" s="10" t="inlineStr">
        <is>
          <t>Salón 1, Salón 2, Para llevar, Delivery</t>
        </is>
      </c>
      <c r="E5" s="10" t="inlineStr">
        <is>
          <t>Aparte</t>
        </is>
      </c>
      <c r="F5" s="10" t="inlineStr">
        <is>
          <t>— / 1</t>
        </is>
      </c>
      <c r="G5" s="10" t="inlineStr">
        <is>
          <t>Barras múltiples, barra → caja</t>
        </is>
      </c>
      <c r="H5" s="10" t="inlineStr">
        <is>
          <t>P11e, P12e</t>
        </is>
      </c>
      <c r="I5" s="10" t="inlineStr">
        <is>
          <t>—</t>
        </is>
      </c>
      <c r="J5" s="10" t="inlineStr">
        <is>
          <t>(sin minutas todavía)</t>
        </is>
      </c>
      <c r="K5" s="10" t="inlineStr">
        <is>
          <t>SUPUESTO</t>
        </is>
      </c>
    </row>
    <row r="6">
      <c r="A6" s="10" t="inlineStr">
        <is>
          <t>PIZZERIA</t>
        </is>
      </c>
      <c r="B6" s="10" t="inlineStr">
        <is>
          <t>Pizzería</t>
        </is>
      </c>
      <c r="C6" s="10" t="inlineStr">
        <is>
          <t>Cocina, Horno o zona de pizza (PIZZA), Barra opcional</t>
        </is>
      </c>
      <c r="D6" s="10" t="inlineStr">
        <is>
          <t>Salón, Para llevar, Delivery</t>
        </is>
      </c>
      <c r="E6" s="10" t="inlineStr">
        <is>
          <t>Aparte</t>
        </is>
      </c>
      <c r="F6" s="10" t="inlineStr">
        <is>
          <t>— / 1</t>
        </is>
      </c>
      <c r="G6" s="10" t="inlineStr">
        <is>
          <t>Barras múltiples, barra → caja</t>
        </is>
      </c>
      <c r="H6" s="10" t="inlineStr">
        <is>
          <t>P11e, P12e</t>
        </is>
      </c>
      <c r="I6" s="10" t="inlineStr">
        <is>
          <t>—</t>
        </is>
      </c>
      <c r="J6" s="10" t="inlineStr">
        <is>
          <t>(sin minutas todavía)</t>
        </is>
      </c>
      <c r="K6" s="10" t="inlineStr">
        <is>
          <t>SUPUESTO</t>
        </is>
      </c>
    </row>
    <row r="7">
      <c r="A7" s="10" t="inlineStr">
        <is>
          <t>PARRILLA</t>
        </is>
      </c>
      <c r="B7" s="10" t="inlineStr">
        <is>
          <t>Parrilla / Anticuchería</t>
        </is>
      </c>
      <c r="C7" s="10" t="inlineStr">
        <is>
          <t>Parrilla, Cocina, Barra opcional</t>
        </is>
      </c>
      <c r="D7" s="10" t="inlineStr">
        <is>
          <t>Salón 1, Terraza, Para llevar, Delivery</t>
        </is>
      </c>
      <c r="E7" s="10" t="inlineStr">
        <is>
          <t>Parrilla (Caja-Parrilla); puede ser Caja-Barra</t>
        </is>
      </c>
      <c r="F7" s="10" t="inlineStr">
        <is>
          <t>— / 1</t>
        </is>
      </c>
      <c r="G7" s="10" t="inlineStr">
        <is>
          <t>Barras múltiples</t>
        </is>
      </c>
      <c r="H7" s="10" t="inlineStr">
        <is>
          <t>P11e, P12e</t>
        </is>
      </c>
      <c r="I7" s="10" t="inlineStr">
        <is>
          <t>R10 (calor y grasa en parrilla y cocina, también router y Raspberry), R57</t>
        </is>
      </c>
      <c r="J7" s="10" t="inlineStr">
        <is>
          <t>Anticuchería Susy (caso contado por el equipo)</t>
        </is>
      </c>
      <c r="K7" s="10" t="inlineStr">
        <is>
          <t>CONFIRMADO</t>
        </is>
      </c>
    </row>
    <row r="8">
      <c r="A8" s="10" t="inlineStr">
        <is>
          <t>POLLERIA</t>
        </is>
      </c>
      <c r="B8" s="10" t="inlineStr">
        <is>
          <t>Pollería</t>
        </is>
      </c>
      <c r="C8" s="10" t="inlineStr">
        <is>
          <t>Cocina, Brasas, Barra de bebidas</t>
        </is>
      </c>
      <c r="D8" s="10" t="inlineStr">
        <is>
          <t>Salón 1, Salón 2, Para llevar, Delivery</t>
        </is>
      </c>
      <c r="E8" s="10" t="inlineStr">
        <is>
          <t>Aparte</t>
        </is>
      </c>
      <c r="F8" s="10" t="inlineStr">
        <is>
          <t>— / 1</t>
        </is>
      </c>
      <c r="G8" s="10" t="inlineStr">
        <is>
          <t>Barras múltiples, barra → caja</t>
        </is>
      </c>
      <c r="H8" s="10" t="inlineStr">
        <is>
          <t>P11e, P12e</t>
        </is>
      </c>
      <c r="I8" s="10" t="inlineStr">
        <is>
          <t>R10 (calor y grasa en la zona de brasas)</t>
        </is>
      </c>
      <c r="J8" s="10" t="inlineStr">
        <is>
          <t>Rikoton (7)</t>
        </is>
      </c>
      <c r="K8" s="10" t="inlineStr">
        <is>
          <t>CONFIRMADO</t>
        </is>
      </c>
    </row>
    <row r="9">
      <c r="A9" s="10" t="inlineStr">
        <is>
          <t>FAST_FOOD</t>
        </is>
      </c>
      <c r="B9" s="10" t="inlineStr">
        <is>
          <t>Fast food</t>
        </is>
      </c>
      <c r="C9" s="10" t="inlineStr">
        <is>
          <t>Cocina, Barra opcional</t>
        </is>
      </c>
      <c r="D9" s="10" t="inlineStr">
        <is>
          <t>Salón, Para llevar, Delivery</t>
        </is>
      </c>
      <c r="E9" s="10" t="inlineStr">
        <is>
          <t>Aparte</t>
        </is>
      </c>
      <c r="F9" s="10" t="inlineStr">
        <is>
          <t>1 / 1</t>
        </is>
      </c>
      <c r="G9" s="10" t="inlineStr">
        <is>
          <t>P10 (pisos), P11a (piso por área), barras múltiples, barra → caja; P45/P46 si P09c = No</t>
        </is>
      </c>
      <c r="H9" s="10" t="inlineStr">
        <is>
          <t>P11e, P12e, P09c (mozos)</t>
        </is>
      </c>
      <c r="I9" s="10" t="inlineStr">
        <is>
          <t>R44 (Sunmi si la comanda sale solo en caja)</t>
        </is>
      </c>
      <c r="J9" s="10" t="inlineStr">
        <is>
          <t>Rock &amp; Burgers, ALF, Bros, Saltao, Belgofre</t>
        </is>
      </c>
      <c r="K9" s="10" t="inlineStr">
        <is>
          <t>CONFIRMADO</t>
        </is>
      </c>
    </row>
    <row r="10">
      <c r="A10" s="10" t="inlineStr">
        <is>
          <t>RESTOBAR</t>
        </is>
      </c>
      <c r="B10" s="10" t="inlineStr">
        <is>
          <t>Restobar</t>
        </is>
      </c>
      <c r="C10" s="10" t="inlineStr">
        <is>
          <t>Cocina, Barra 1, Barra 2</t>
        </is>
      </c>
      <c r="D10" s="10" t="inlineStr">
        <is>
          <t>Salones, Terraza, Barras</t>
        </is>
      </c>
      <c r="E10" s="10" t="inlineStr">
        <is>
          <t>Aparte</t>
        </is>
      </c>
      <c r="F10" s="10" t="inlineStr">
        <is>
          <t>— / —</t>
        </is>
      </c>
      <c r="G10" s="10" t="inlineStr">
        <is>
          <t>— (flujo completo)</t>
        </is>
      </c>
      <c r="H10" s="10" t="inlineStr">
        <is>
          <t>P11e, P12e; P12c barra → caja si hay más de una caja</t>
        </is>
      </c>
      <c r="I10" s="10" t="inlineStr">
        <is>
          <t>—</t>
        </is>
      </c>
      <c r="J10" s="10" t="inlineStr">
        <is>
          <t>Dorcher (2), Malala, Los Juárez</t>
        </is>
      </c>
      <c r="K10" s="10" t="inlineStr">
        <is>
          <t>CONFIRMADO</t>
        </is>
      </c>
    </row>
    <row r="11">
      <c r="A11" s="10" t="inlineStr">
        <is>
          <t>DISCOTECA_BAR</t>
        </is>
      </c>
      <c r="B11" s="10" t="inlineStr">
        <is>
          <t>Discoteca o bar</t>
        </is>
      </c>
      <c r="C11" s="10" t="inlineStr">
        <is>
          <t>Barra 1, Barra 2, Barra 3, Cocina opcional</t>
        </is>
      </c>
      <c r="D11" s="10" t="inlineStr">
        <is>
          <t>Pista, Salones, Barras</t>
        </is>
      </c>
      <c r="E11" s="10" t="inlineStr">
        <is>
          <t>Aparte</t>
        </is>
      </c>
      <c r="F11" s="10" t="inlineStr">
        <is>
          <t>— / —</t>
        </is>
      </c>
      <c r="G11" s="10" t="inlineStr">
        <is>
          <t>Brasas, despacho</t>
        </is>
      </c>
      <c r="H11" s="10" t="inlineStr">
        <is>
          <t>P11e, P12e, P12c (barra → caja), P22g (PC o laptop permanente)</t>
        </is>
      </c>
      <c r="I11" s="10" t="inlineStr">
        <is>
          <t>R60 (PC o laptop temporal → Raspberry)</t>
        </is>
      </c>
      <c r="J11" s="10" t="inlineStr">
        <is>
          <t>Mala Vida, Soma</t>
        </is>
      </c>
      <c r="K11" s="10" t="inlineStr">
        <is>
          <t>CONFIRMADO</t>
        </is>
      </c>
    </row>
    <row r="12">
      <c r="A12" s="10" t="inlineStr">
        <is>
          <t>CAFETERIA</t>
        </is>
      </c>
      <c r="B12" s="10" t="inlineStr">
        <is>
          <t>Cafetería</t>
        </is>
      </c>
      <c r="C12" s="10" t="inlineStr">
        <is>
          <t>Barra de café, Cocina opcional</t>
        </is>
      </c>
      <c r="D12" s="10" t="inlineStr">
        <is>
          <t>Salón, Para llevar, Delivery</t>
        </is>
      </c>
      <c r="E12" s="10" t="inlineStr">
        <is>
          <t>Aparte</t>
        </is>
      </c>
      <c r="F12" s="10" t="inlineStr">
        <is>
          <t>1 / 1</t>
        </is>
      </c>
      <c r="G12" s="10" t="inlineStr">
        <is>
          <t>P10, P11a, barras múltiples; P45/P46 si P09c = No</t>
        </is>
      </c>
      <c r="H12" s="10" t="inlineStr">
        <is>
          <t>P11e, P12e, P09c (mozos)</t>
        </is>
      </c>
      <c r="I12" s="10" t="inlineStr">
        <is>
          <t>R47 (tablet en caja → Raspberry)</t>
        </is>
      </c>
      <c r="J12" s="10" t="inlineStr">
        <is>
          <t>Gourmety</t>
        </is>
      </c>
      <c r="K12" s="10" t="inlineStr">
        <is>
          <t>CONFIRMADO</t>
        </is>
      </c>
    </row>
    <row r="13">
      <c r="A13" s="10" t="inlineStr">
        <is>
          <t>HELADERIA</t>
        </is>
      </c>
      <c r="B13" s="10" t="inlineStr">
        <is>
          <t>Heladería</t>
        </is>
      </c>
      <c r="C13" s="10" t="inlineStr">
        <is>
          <t>Barra de helados, Cocina opcional</t>
        </is>
      </c>
      <c r="D13" s="10" t="inlineStr">
        <is>
          <t>Salón, Para llevar, Delivery</t>
        </is>
      </c>
      <c r="E13" s="10" t="inlineStr">
        <is>
          <t>Aparte</t>
        </is>
      </c>
      <c r="F13" s="10" t="inlineStr">
        <is>
          <t>1 / 1</t>
        </is>
      </c>
      <c r="G13" s="10" t="inlineStr">
        <is>
          <t>P10, P11a, barras múltiples; P45/P46 si P09c = No</t>
        </is>
      </c>
      <c r="H13" s="10" t="inlineStr">
        <is>
          <t>P11e, P12e, P09c (mozos)</t>
        </is>
      </c>
      <c r="I13" s="10" t="inlineStr">
        <is>
          <t>R47 (tablet en caja → Raspberry)</t>
        </is>
      </c>
      <c r="J13" s="10" t="inlineStr">
        <is>
          <t>Gelato Alore (3)</t>
        </is>
      </c>
      <c r="K13" s="10" t="inlineStr">
        <is>
          <t>CONFIRMADO</t>
        </is>
      </c>
    </row>
    <row r="14">
      <c r="A14" s="10" t="inlineStr">
        <is>
          <t>HOSPEDAJE</t>
        </is>
      </c>
      <c r="B14" s="10" t="inlineStr">
        <is>
          <t>Hotel</t>
        </is>
      </c>
      <c r="C14" s="10" t="inlineStr">
        <is>
          <t>Cocina, Bar</t>
        </is>
      </c>
      <c r="D14" s="10" t="inlineStr">
        <is>
          <t>Restaurante (salón), Terraza, Áreas comunes</t>
        </is>
      </c>
      <c r="E14" s="10" t="inlineStr">
        <is>
          <t>Recepción</t>
        </is>
      </c>
      <c r="F14" s="10" t="inlineStr">
        <is>
          <t>— / —</t>
        </is>
      </c>
      <c r="G14" s="10" t="inlineStr">
        <is>
          <t>— (flujo completo)</t>
        </is>
      </c>
      <c r="H14" s="10" t="inlineStr">
        <is>
          <t>P11e, P12e</t>
        </is>
      </c>
      <c r="I14" s="10" t="inlineStr">
        <is>
          <t>R56 (TP-Link con chip si no hay proveedor o hay caídas)</t>
        </is>
      </c>
      <c r="J14" s="10" t="inlineStr">
        <is>
          <t>Hotel La Confianza</t>
        </is>
      </c>
      <c r="K14" s="10" t="inlineStr">
        <is>
          <t>CONFIRMADO</t>
        </is>
      </c>
    </row>
    <row r="15">
      <c r="A15" s="10" t="inlineStr">
        <is>
          <t>RETAIL</t>
        </is>
      </c>
      <c r="B15" s="10" t="inlineStr">
        <is>
          <t>Retail – Supermercado</t>
        </is>
      </c>
      <c r="C15" s="10" t="inlineStr">
        <is>
          <t>Ninguna (solo cajas)</t>
        </is>
      </c>
      <c r="D15" s="10" t="inlineStr">
        <is>
          <t>Ninguna (venta en caja)</t>
        </is>
      </c>
      <c r="E15" s="10" t="inlineStr">
        <is>
          <t>—</t>
        </is>
      </c>
      <c r="F15" s="10" t="inlineStr">
        <is>
          <t>1 / —</t>
        </is>
      </c>
      <c r="G15" s="10" t="inlineStr">
        <is>
          <t>P11 de preparación, P12b, P25, impresoras de preparación, decisión del Raspberry, P45/P46</t>
        </is>
      </c>
      <c r="H15" s="10" t="inlineStr">
        <is>
          <t>P22h (periféricos por caja)</t>
        </is>
      </c>
      <c r="I15" s="10" t="inlineStr">
        <is>
          <t>R63 (periféricos y pruebas); impresora USB con PC (R42)</t>
        </is>
      </c>
      <c r="J15" s="10" t="inlineStr">
        <is>
          <t>Flora y Fauna</t>
        </is>
      </c>
      <c r="K15" s="10" t="inlineStr">
        <is>
          <t>CONFIRMADO</t>
        </is>
      </c>
    </row>
    <row r="16">
      <c r="A16" s="10" t="inlineStr">
        <is>
          <t>OTRO</t>
        </is>
      </c>
      <c r="B16" s="10" t="inlineStr">
        <is>
          <t>Otro (escribir)</t>
        </is>
      </c>
      <c r="C16" s="10" t="inlineStr">
        <is>
          <t>—</t>
        </is>
      </c>
      <c r="D16" s="10" t="inlineStr">
        <is>
          <t>—</t>
        </is>
      </c>
      <c r="E16" s="10" t="inlineStr">
        <is>
          <t>Se pregunta</t>
        </is>
      </c>
      <c r="F16" s="10" t="inlineStr">
        <is>
          <t>— / —</t>
        </is>
      </c>
      <c r="G16" s="10" t="inlineStr">
        <is>
          <t>Nada (flujo completo)</t>
        </is>
      </c>
      <c r="H16" s="10" t="inlineStr">
        <is>
          <t>P09a (escribir el rubro)</t>
        </is>
      </c>
      <c r="I16" s="10" t="inlineStr">
        <is>
          <t>—</t>
        </is>
      </c>
      <c r="J16" s="10" t="inlineStr">
        <is>
          <t>—</t>
        </is>
      </c>
      <c r="K16" s="10" t="inlineStr">
        <is>
          <t>CONFIRMADO</t>
        </is>
      </c>
    </row>
    <row r="17">
      <c r="A17" s="10" t="inlineStr">
        <is>
          <t>+ PATIO</t>
        </is>
      </c>
      <c r="B17" s="10" t="inlineStr">
        <is>
          <t>Modificador: La dirección (P03) menciona el patio de comidas de un centro comercial grande (se deduce, no se pregunta)</t>
        </is>
      </c>
      <c r="C17" s="10" t="inlineStr">
        <is>
          <t>Según el rubro</t>
        </is>
      </c>
      <c r="D17" s="10" t="inlineStr">
        <is>
          <t>Según el rubro</t>
        </is>
      </c>
      <c r="E17" s="10" t="inlineStr">
        <is>
          <t>Según el rubro</t>
        </is>
      </c>
      <c r="F17" s="10" t="inlineStr">
        <is>
          <t>Según el rubro</t>
        </is>
      </c>
      <c r="G17" s="10" t="inlineStr">
        <is>
          <t>P13, P14, P15, P16, P17 (internet del patio); foto, etiqueta y speedtest del router del patio; P45/P46 (WiFi por zona)</t>
        </is>
      </c>
      <c r="H17" s="10" t="inlineStr">
        <is>
          <t>P14b (señal del chip), E1b (speedtest del chip), ubicación del TP-Link</t>
        </is>
      </c>
      <c r="I17" s="10" t="inlineStr">
        <is>
          <t>R56: independizar la red con TP-Link con chip y plan básico, solo para las impresoras y el equipo del sistema de impresiones</t>
        </is>
      </c>
      <c r="J17" s="10" t="inlineStr">
        <is>
          <t>Sicilia, Bros y Soma (El Refugio), Saltao (Larcomar), Maki Sam (Real Plaza)</t>
        </is>
      </c>
      <c r="K17" s="10" t="inlineStr">
        <is>
          <t>CONFIRMADO</t>
        </is>
      </c>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B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20" customWidth="1" min="2" max="2"/>
  </cols>
  <sheetData>
    <row r="1" ht="34" customHeight="1">
      <c r="A1" s="9" t="inlineStr">
        <is>
          <t>paso</t>
        </is>
      </c>
      <c r="B1" s="9" t="inlineStr">
        <is>
          <t>regla_del_perfil</t>
        </is>
      </c>
    </row>
    <row r="2">
      <c r="A2" s="10" t="inlineStr">
        <is>
          <t>1</t>
        </is>
      </c>
      <c r="B2" s="10" t="inlineStr">
        <is>
          <t>El técnico elige el rubro (P09) y con eso se carga el perfil. Si la dirección (P03) menciona el patio de comidas de un centro comercial grande, se suma el modificador de patio sin preguntar.</t>
        </is>
      </c>
    </row>
    <row r="3">
      <c r="A3" s="10" t="inlineStr">
        <is>
          <t>2</t>
        </is>
      </c>
      <c r="B3" s="10" t="inlineStr">
        <is>
          <t>Las áreas sugeridas se confirman con un toque (P11e). Con 'Agregar o quitar' se ve la lista completa, con Otro para escribir.</t>
        </is>
      </c>
    </row>
    <row r="4">
      <c r="A4" s="10" t="inlineStr">
        <is>
          <t>3</t>
        </is>
      </c>
      <c r="B4" s="10" t="inlineStr">
        <is>
          <t>P12e: ¿la caja comparte lugar con alguna área de preparación? Opciones: No (aparte), las áreas de preparación del perfil y Otro. El perfil deja marcada la más común.</t>
        </is>
      </c>
    </row>
    <row r="5">
      <c r="A5" s="10" t="inlineStr">
        <is>
          <t>4</t>
        </is>
      </c>
      <c r="B5" s="10" t="inlineStr">
        <is>
          <t>Las impresoras vienen armadas: una por área de preparación más la de caja (o una sola si la caja comparte área). Solo se pregunta marca, conexión y autotest.</t>
        </is>
      </c>
    </row>
    <row r="6">
      <c r="A6" s="10" t="inlineStr">
        <is>
          <t>5</t>
        </is>
      </c>
      <c r="B6" s="10" t="inlineStr">
        <is>
          <t>Las preguntas ocultas se guardan como 'No aplica (por rubro)': la minuta y la evaluación no las cuentan como faltantes.</t>
        </is>
      </c>
    </row>
    <row r="7">
      <c r="A7" s="10" t="inlineStr">
        <is>
          <t>6</t>
        </is>
      </c>
      <c r="B7" s="10" t="inlineStr">
        <is>
          <t>Si el técnico agrega algo fuera del perfil (ej. Barra 2 en un fast food), vuelven a aparecer las preguntas relacionadas.</t>
        </is>
      </c>
    </row>
    <row r="8">
      <c r="A8" s="10" t="inlineStr">
        <is>
          <t>7</t>
        </is>
      </c>
      <c r="B8" s="10" t="inlineStr">
        <is>
          <t>Nunca se ocultan: evidencias principales (speedtest, router, ipconfig, autotest, escáner), energía, puntos de red, decisión de impresión y cierre.</t>
        </is>
      </c>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7"/>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55" customWidth="1" min="1" max="1"/>
    <col width="90" customWidth="1" min="2" max="2"/>
  </cols>
  <sheetData>
    <row r="1" ht="34" customHeight="1">
      <c r="A1" s="9" t="inlineStr">
        <is>
          <t>archivo</t>
        </is>
      </c>
      <c r="B1" s="9" t="inlineStr">
        <is>
          <t>motivo</t>
        </is>
      </c>
    </row>
    <row r="2">
      <c r="A2" s="10" t="inlineStr">
        <is>
          <t>T&amp;C - LEOMAR.pdf</t>
        </is>
      </c>
      <c r="B2" s="10" t="inlineStr">
        <is>
          <t>Contrato de términos y condiciones (no es minuta); contiene cuentas bancarias</t>
        </is>
      </c>
    </row>
    <row r="3">
      <c r="A3" s="10" t="inlineStr">
        <is>
          <t>T&amp;C PUERTO MANCORA.pdf</t>
        </is>
      </c>
      <c r="B3" s="10" t="inlineStr">
        <is>
          <t>Contrato (no es minuta); el equipo indicó que no va</t>
        </is>
      </c>
    </row>
    <row r="4">
      <c r="A4" s="10" t="inlineStr">
        <is>
          <t>Summary Sheet-Minutas Técnicas RKT.pdf</t>
        </is>
      </c>
      <c r="B4" s="10" t="inlineStr">
        <is>
          <t>El equipo indicó que no va</t>
        </is>
      </c>
    </row>
    <row r="5">
      <c r="A5" s="10" t="inlineStr">
        <is>
          <t>Minuta Visita Técnica Juicy Lucy - Larco.docx y V2</t>
        </is>
      </c>
      <c r="B5" s="10" t="inlineStr">
        <is>
          <t>Tienen el texto de Bros; Juicy Lucy (fast food) queda pendiente de la minuta correcta</t>
        </is>
      </c>
    </row>
    <row r="6">
      <c r="A6" s="10" t="inlineStr">
        <is>
          <t>Minuta de Visita técnica - La Carpita del Sabor (1).pdf</t>
        </is>
      </c>
      <c r="B6" s="10" t="inlineStr">
        <is>
          <t>Duplicado de La Carpita del Sabor</t>
        </is>
      </c>
    </row>
    <row r="7">
      <c r="A7" s="10" t="inlineStr">
        <is>
          <t>Minuta Gelato Alore 2 de Mayo.docx</t>
        </is>
      </c>
      <c r="B7" s="10" t="inlineStr">
        <is>
          <t>Ya cargada desde el PDF (MH-018)</t>
        </is>
      </c>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C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9" customWidth="1" min="2" max="2"/>
    <col width="100" customWidth="1" min="3" max="3"/>
  </cols>
  <sheetData>
    <row r="1" ht="34" customHeight="1">
      <c r="A1" s="9" t="inlineStr">
        <is>
          <t>minuta_id</t>
        </is>
      </c>
      <c r="B1" s="9" t="inlineStr">
        <is>
          <t>regla_id</t>
        </is>
      </c>
      <c r="C1" s="9" t="inlineStr">
        <is>
          <t>por_que_revisar</t>
        </is>
      </c>
    </row>
    <row r="2">
      <c r="A2" s="10" t="inlineStr">
        <is>
          <t>MH-009</t>
        </is>
      </c>
      <c r="B2" s="10" t="inlineStr">
        <is>
          <t>R16</t>
        </is>
      </c>
      <c r="C2" s="10" t="inlineStr">
        <is>
          <t>La minuta pide impresora de red para caja aunque hay PC de caja; con la regla, la USB con controlador imprime las tres.</t>
        </is>
      </c>
    </row>
    <row r="3">
      <c r="A3" s="10" t="inlineStr">
        <is>
          <t>MH-014</t>
        </is>
      </c>
      <c r="B3" s="10" t="inlineStr">
        <is>
          <t>R16</t>
        </is>
      </c>
      <c r="C3" s="10" t="inlineStr">
        <is>
          <t>Igual que Banchero: se recomendó impresora de red para caja con PC de caja disponible.</t>
        </is>
      </c>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Q38"/>
  <sheetViews>
    <sheetView workbookViewId="0">
      <selection activeCell="A1" sqref="A1"/>
    </sheetView>
  </sheetViews>
  <sheetFormatPr baseColWidth="8" defaultRowHeight="15"/>
  <cols>
    <col width="14" customWidth="1" min="1" max="1"/>
    <col width="20" customWidth="1" min="2" max="2"/>
    <col width="14" customWidth="1" min="3" max="3"/>
    <col width="14" customWidth="1" min="4" max="4"/>
    <col width="15" customWidth="1" min="5" max="5"/>
    <col width="14" customWidth="1" min="6" max="6"/>
    <col width="14" customWidth="1" min="7" max="7"/>
    <col width="18" customWidth="1" min="8" max="8"/>
    <col width="20" customWidth="1" min="9" max="9"/>
    <col width="14" customWidth="1" min="10" max="10"/>
    <col width="17" customWidth="1" min="11" max="11"/>
    <col width="14" customWidth="1" min="12" max="12"/>
    <col width="14" customWidth="1" min="13" max="13"/>
    <col width="18" customWidth="1" min="14" max="14"/>
    <col width="14" customWidth="1" min="15" max="15"/>
    <col width="17" customWidth="1" min="16" max="16"/>
    <col width="14" customWidth="1" min="17" max="17"/>
  </cols>
  <sheetData>
    <row r="1">
      <c r="A1" s="18" t="inlineStr">
        <is>
          <t>estado_local</t>
        </is>
      </c>
      <c r="B1" s="18" t="inlineStr">
        <is>
          <t>observacion_opcion</t>
        </is>
      </c>
      <c r="C1" s="18" t="inlineStr">
        <is>
          <t>tipo_negocio</t>
        </is>
      </c>
      <c r="D1" s="18" t="inlineStr">
        <is>
          <t>proveedor</t>
        </is>
      </c>
      <c r="E1" s="18" t="inlineStr">
        <is>
          <t>tipo_conexion</t>
        </is>
      </c>
      <c r="F1" s="18" t="inlineStr">
        <is>
          <t>estado_final</t>
        </is>
      </c>
      <c r="G1" s="18" t="inlineStr">
        <is>
          <t>si_no</t>
        </is>
      </c>
      <c r="H1" s="18" t="inlineStr">
        <is>
          <t>seccion_hallazgo</t>
        </is>
      </c>
      <c r="I1" s="18" t="inlineStr">
        <is>
          <t>tipo_recomendacion</t>
        </is>
      </c>
      <c r="J1" s="18" t="inlineStr">
        <is>
          <t>tipo_equipo</t>
        </is>
      </c>
      <c r="K1" s="18" t="inlineStr">
        <is>
          <t>conexion_equipo</t>
        </is>
      </c>
      <c r="L1" s="18" t="inlineStr">
        <is>
          <t>area</t>
        </is>
      </c>
      <c r="M1" s="18" t="inlineStr">
        <is>
          <t>confianza</t>
        </is>
      </c>
      <c r="N1" s="18" t="inlineStr">
        <is>
          <t>codigo_evidencia</t>
        </is>
      </c>
      <c r="O1" s="18" t="inlineStr">
        <is>
          <t>prioridad</t>
        </is>
      </c>
      <c r="P1" s="18" t="inlineStr">
        <is>
          <t>tipo_credencial</t>
        </is>
      </c>
      <c r="Q1" s="18" t="inlineStr">
        <is>
          <t>responsable</t>
        </is>
      </c>
    </row>
    <row r="2">
      <c r="A2" s="17" t="inlineStr">
        <is>
          <t>EN_OPERACION</t>
        </is>
      </c>
      <c r="B2" s="17" t="inlineStr">
        <is>
          <t>OBS_TECNICO</t>
        </is>
      </c>
      <c r="C2" s="17" t="inlineStr">
        <is>
          <t>REST_PESCADOS</t>
        </is>
      </c>
      <c r="D2" s="17" t="inlineStr">
        <is>
          <t>MOVISTAR</t>
        </is>
      </c>
      <c r="E2" s="17" t="inlineStr">
        <is>
          <t>FIBRA</t>
        </is>
      </c>
      <c r="F2" s="17" t="inlineStr">
        <is>
          <t>APTO</t>
        </is>
      </c>
      <c r="G2" s="17" t="inlineStr">
        <is>
          <t>SI</t>
        </is>
      </c>
      <c r="H2" s="17" t="inlineStr">
        <is>
          <t>ANTECEDENTE</t>
        </is>
      </c>
      <c r="I2" s="17" t="inlineStr">
        <is>
          <t>RECOMENDACION</t>
        </is>
      </c>
      <c r="J2" s="17" t="inlineStr">
        <is>
          <t>router</t>
        </is>
      </c>
      <c r="K2" s="17" t="inlineStr">
        <is>
          <t>CABLE_RED</t>
        </is>
      </c>
      <c r="L2" s="17" t="inlineStr">
        <is>
          <t>SALON_1</t>
        </is>
      </c>
      <c r="M2" s="17" t="inlineStr">
        <is>
          <t>EXPLICITO</t>
        </is>
      </c>
      <c r="N2" s="17" t="inlineStr">
        <is>
          <t>E1</t>
        </is>
      </c>
      <c r="O2" s="17" t="inlineStr">
        <is>
          <t>Alta</t>
        </is>
      </c>
      <c r="P2" s="17" t="inlineStr">
        <is>
          <t>WIFI</t>
        </is>
      </c>
      <c r="Q2" s="17" t="inlineStr">
        <is>
          <t>ID</t>
        </is>
      </c>
    </row>
    <row r="3">
      <c r="A3" s="17" t="inlineStr">
        <is>
          <t>EN_OBRA</t>
        </is>
      </c>
      <c r="B3" s="17" t="inlineStr">
        <is>
          <t>SERIE_FACTURACION</t>
        </is>
      </c>
      <c r="C3" s="17" t="inlineStr">
        <is>
          <t>REST_ORIENTAL</t>
        </is>
      </c>
      <c r="D3" s="17" t="inlineStr">
        <is>
          <t>CLARO</t>
        </is>
      </c>
      <c r="E3" s="17" t="inlineStr">
        <is>
          <t>COAXIAL</t>
        </is>
      </c>
      <c r="F3" s="17" t="inlineStr">
        <is>
          <t>OBSERVADO</t>
        </is>
      </c>
      <c r="G3" s="17" t="inlineStr">
        <is>
          <t>NO</t>
        </is>
      </c>
      <c r="H3" s="17" t="inlineStr">
        <is>
          <t>DESARROLLO</t>
        </is>
      </c>
      <c r="I3" s="17" t="inlineStr">
        <is>
          <t>ACCION_ID</t>
        </is>
      </c>
      <c r="J3" s="17" t="inlineStr">
        <is>
          <t>modem</t>
        </is>
      </c>
      <c r="K3" s="17" t="inlineStr">
        <is>
          <t>WIFI</t>
        </is>
      </c>
      <c r="L3" s="17" t="inlineStr">
        <is>
          <t>SALON_2</t>
        </is>
      </c>
      <c r="M3" s="17" t="inlineStr">
        <is>
          <t>INFERIDO</t>
        </is>
      </c>
      <c r="N3" s="17" t="inlineStr">
        <is>
          <t>E2</t>
        </is>
      </c>
      <c r="O3" s="17" t="inlineStr">
        <is>
          <t>Media</t>
        </is>
      </c>
      <c r="P3" s="17" t="inlineStr">
        <is>
          <t>ROUTER_ADMIN</t>
        </is>
      </c>
      <c r="Q3" s="17" t="inlineStr">
        <is>
          <t>Cliente</t>
        </is>
      </c>
    </row>
    <row r="4">
      <c r="A4" s="17" t="inlineStr">
        <is>
          <t>POR_INAUGURAR</t>
        </is>
      </c>
      <c r="B4" s="17" t="inlineStr">
        <is>
          <t>VIABILIDAD</t>
        </is>
      </c>
      <c r="C4" s="17" t="inlineStr">
        <is>
          <t>RESTAURANTE</t>
        </is>
      </c>
      <c r="D4" s="17" t="inlineStr">
        <is>
          <t>ENTEL</t>
        </is>
      </c>
      <c r="E4" s="17" t="inlineStr">
        <is>
          <t>NO_SE</t>
        </is>
      </c>
      <c r="F4" s="17" t="inlineStr">
        <is>
          <t>NO_APTO</t>
        </is>
      </c>
      <c r="H4" s="17" t="inlineStr">
        <is>
          <t>OBSERVACION</t>
        </is>
      </c>
      <c r="I4" s="17" t="inlineStr">
        <is>
          <t>ACCION_CLIENTE</t>
        </is>
      </c>
      <c r="J4" s="17" t="inlineStr">
        <is>
          <t>switch</t>
        </is>
      </c>
      <c r="K4" s="17" t="inlineStr">
        <is>
          <t>USB</t>
        </is>
      </c>
      <c r="L4" s="17" t="inlineStr">
        <is>
          <t>TERRAZA</t>
        </is>
      </c>
      <c r="N4" s="17" t="inlineStr">
        <is>
          <t>E3</t>
        </is>
      </c>
      <c r="O4" s="17" t="inlineStr">
        <is>
          <t>Baja</t>
        </is>
      </c>
      <c r="P4" s="17" t="inlineStr">
        <is>
          <t>ACCESO_REMOTO</t>
        </is>
      </c>
    </row>
    <row r="5">
      <c r="A5" s="17" t="inlineStr">
        <is>
          <t>SISTEMA_ANTERIOR</t>
        </is>
      </c>
      <c r="B5" s="17" t="inlineStr">
        <is>
          <t>METODO_PAGO</t>
        </is>
      </c>
      <c r="C5" s="17" t="inlineStr">
        <is>
          <t>CHIFA</t>
        </is>
      </c>
      <c r="D5" s="17" t="inlineStr">
        <is>
          <t>WIN</t>
        </is>
      </c>
      <c r="E5" s="17" t="inlineStr">
        <is>
          <t>NO_TIENE</t>
        </is>
      </c>
      <c r="F5" s="17" t="inlineStr">
        <is>
          <t>SIN_DATO</t>
        </is>
      </c>
      <c r="J5" s="17" t="inlineStr">
        <is>
          <t>access_point</t>
        </is>
      </c>
      <c r="K5" s="17" t="inlineStr">
        <is>
          <t>BLUETOOTH</t>
        </is>
      </c>
      <c r="L5" s="17" t="inlineStr">
        <is>
          <t>BAR</t>
        </is>
      </c>
      <c r="N5" s="17" t="inlineStr">
        <is>
          <t>E4</t>
        </is>
      </c>
      <c r="P5" s="17" t="inlineStr">
        <is>
          <t>USUARIO_EQUIPO</t>
        </is>
      </c>
    </row>
    <row r="6">
      <c r="A6" s="17" t="inlineStr">
        <is>
          <t>OTRO</t>
        </is>
      </c>
      <c r="B6" s="17" t="inlineStr">
        <is>
          <t>OTRO</t>
        </is>
      </c>
      <c r="C6" s="17" t="inlineStr">
        <is>
          <t>PIZZERIA</t>
        </is>
      </c>
      <c r="D6" s="17" t="inlineStr">
        <is>
          <t>OTRO</t>
        </is>
      </c>
      <c r="E6" s="17" t="inlineStr">
        <is>
          <t>CHIP</t>
        </is>
      </c>
      <c r="J6" s="17" t="inlineStr">
        <is>
          <t>repetidor</t>
        </is>
      </c>
      <c r="L6" s="17" t="inlineStr">
        <is>
          <t>CAJA</t>
        </is>
      </c>
      <c r="N6" s="17" t="inlineStr">
        <is>
          <t>E5</t>
        </is>
      </c>
      <c r="P6" s="17" t="inlineStr">
        <is>
          <t>PUERTO_SERVICIO</t>
        </is>
      </c>
    </row>
    <row r="7">
      <c r="C7" s="17" t="inlineStr">
        <is>
          <t>PARRILLA</t>
        </is>
      </c>
      <c r="J7" s="17" t="inlineStr">
        <is>
          <t>computer</t>
        </is>
      </c>
      <c r="L7" s="17" t="inlineStr">
        <is>
          <t>COCINA</t>
        </is>
      </c>
      <c r="N7" s="17" t="inlineStr">
        <is>
          <t>E6</t>
        </is>
      </c>
    </row>
    <row r="8">
      <c r="C8" s="17" t="inlineStr">
        <is>
          <t>POLLERIA</t>
        </is>
      </c>
      <c r="J8" s="17" t="inlineStr">
        <is>
          <t>raspberry</t>
        </is>
      </c>
      <c r="L8" s="17" t="inlineStr">
        <is>
          <t>DESPACHO</t>
        </is>
      </c>
      <c r="N8" s="17" t="inlineStr">
        <is>
          <t>E7</t>
        </is>
      </c>
    </row>
    <row r="9">
      <c r="C9" s="17" t="inlineStr">
        <is>
          <t>FAST_FOOD</t>
        </is>
      </c>
      <c r="J9" s="17" t="inlineStr">
        <is>
          <t>printer</t>
        </is>
      </c>
      <c r="L9" s="17" t="inlineStr">
        <is>
          <t>PIZZA</t>
        </is>
      </c>
      <c r="N9" s="17" t="inlineStr">
        <is>
          <t>E8</t>
        </is>
      </c>
    </row>
    <row r="10">
      <c r="C10" s="17" t="inlineStr">
        <is>
          <t>RESTOBAR</t>
        </is>
      </c>
      <c r="J10" s="17" t="inlineStr">
        <is>
          <t>camera</t>
        </is>
      </c>
      <c r="L10" s="17" t="inlineStr">
        <is>
          <t>BRASAS</t>
        </is>
      </c>
      <c r="N10" s="17" t="inlineStr">
        <is>
          <t>E9</t>
        </is>
      </c>
    </row>
    <row r="11">
      <c r="C11" s="17" t="inlineStr">
        <is>
          <t>DISCOTECA_BAR</t>
        </is>
      </c>
      <c r="J11" s="17" t="inlineStr">
        <is>
          <t>pos</t>
        </is>
      </c>
      <c r="L11" s="17" t="inlineStr">
        <is>
          <t>JUGOS</t>
        </is>
      </c>
      <c r="N11" s="17" t="inlineStr">
        <is>
          <t>EU-R</t>
        </is>
      </c>
    </row>
    <row r="12">
      <c r="C12" s="17" t="inlineStr">
        <is>
          <t>CAFETERIA</t>
        </is>
      </c>
      <c r="J12" s="17" t="inlineStr">
        <is>
          <t>tablet</t>
        </is>
      </c>
      <c r="L12" s="17" t="inlineStr">
        <is>
          <t>CAFETERIA</t>
        </is>
      </c>
      <c r="N12" s="17" t="inlineStr">
        <is>
          <t>EU-RN</t>
        </is>
      </c>
    </row>
    <row r="13">
      <c r="C13" s="17" t="inlineStr">
        <is>
          <t>HELADERIA</t>
        </is>
      </c>
      <c r="J13" s="17" t="inlineStr">
        <is>
          <t>ups</t>
        </is>
      </c>
      <c r="L13" s="17" t="inlineStr">
        <is>
          <t>PARRILLA</t>
        </is>
      </c>
      <c r="N13" s="17" t="inlineStr">
        <is>
          <t>EU-E</t>
        </is>
      </c>
    </row>
    <row r="14">
      <c r="C14" s="17" t="inlineStr">
        <is>
          <t>HOSPEDAJE</t>
        </is>
      </c>
      <c r="J14" s="17" t="inlineStr">
        <is>
          <t>gabinete</t>
        </is>
      </c>
      <c r="L14" s="17" t="inlineStr">
        <is>
          <t>MAKIS</t>
        </is>
      </c>
      <c r="N14" s="17" t="inlineStr">
        <is>
          <t>EU-EN</t>
        </is>
      </c>
    </row>
    <row r="15">
      <c r="C15" s="17" t="inlineStr">
        <is>
          <t>RETAIL</t>
        </is>
      </c>
      <c r="J15" s="17" t="inlineStr">
        <is>
          <t>otro</t>
        </is>
      </c>
      <c r="L15" s="17" t="inlineStr">
        <is>
          <t>RAMEN</t>
        </is>
      </c>
      <c r="N15" s="17" t="inlineStr">
        <is>
          <t>MAPA</t>
        </is>
      </c>
    </row>
    <row r="16">
      <c r="C16" s="17" t="inlineStr">
        <is>
          <t>OTRO</t>
        </is>
      </c>
      <c r="L16" s="17" t="inlineStr">
        <is>
          <t>PANADERIA</t>
        </is>
      </c>
      <c r="N16" s="17" t="inlineStr">
        <is>
          <t>VIDEO</t>
        </is>
      </c>
    </row>
    <row r="17">
      <c r="L17" s="17" t="inlineStr">
        <is>
          <t>ALMACEN</t>
        </is>
      </c>
      <c r="N17" s="17" t="inlineStr">
        <is>
          <t>OTRA</t>
        </is>
      </c>
    </row>
    <row r="18">
      <c r="L18" s="17" t="inlineStr">
        <is>
          <t>OFICINA</t>
        </is>
      </c>
    </row>
    <row r="19">
      <c r="L19" s="17" t="inlineStr">
        <is>
          <t>OTRO</t>
        </is>
      </c>
    </row>
    <row r="20">
      <c r="L20" s="17" t="inlineStr">
        <is>
          <t>FRITURAS</t>
        </is>
      </c>
    </row>
    <row r="21">
      <c r="L21" s="17" t="inlineStr">
        <is>
          <t>SALTEADOS</t>
        </is>
      </c>
    </row>
    <row r="22">
      <c r="L22" s="17" t="inlineStr">
        <is>
          <t>HELADOS</t>
        </is>
      </c>
    </row>
    <row r="23">
      <c r="L23" s="17" t="inlineStr">
        <is>
          <t>EMPAQUETADO</t>
        </is>
      </c>
    </row>
    <row r="24">
      <c r="L24" s="17" t="inlineStr">
        <is>
          <t>BARRA_1</t>
        </is>
      </c>
    </row>
    <row r="25">
      <c r="L25" s="17" t="inlineStr">
        <is>
          <t>BARRA_2</t>
        </is>
      </c>
    </row>
    <row r="26">
      <c r="L26" s="17" t="inlineStr">
        <is>
          <t>BARRA_3</t>
        </is>
      </c>
    </row>
    <row r="27">
      <c r="L27" s="17" t="inlineStr">
        <is>
          <t>COCINA_1</t>
        </is>
      </c>
    </row>
    <row r="28">
      <c r="L28" s="17" t="inlineStr">
        <is>
          <t>COCINA_2</t>
        </is>
      </c>
    </row>
    <row r="29">
      <c r="L29" s="17" t="inlineStr">
        <is>
          <t>SALON_3</t>
        </is>
      </c>
    </row>
    <row r="30">
      <c r="L30" s="17" t="inlineStr">
        <is>
          <t>BALCON</t>
        </is>
      </c>
    </row>
    <row r="31">
      <c r="L31" s="17" t="inlineStr">
        <is>
          <t>PRIVADO</t>
        </is>
      </c>
    </row>
    <row r="32">
      <c r="L32" s="17" t="inlineStr">
        <is>
          <t>PATIO</t>
        </is>
      </c>
    </row>
    <row r="33">
      <c r="L33" s="17" t="inlineStr">
        <is>
          <t>PISTA</t>
        </is>
      </c>
    </row>
    <row r="34">
      <c r="L34" s="17" t="inlineStr">
        <is>
          <t>FRENTE_LOCAL</t>
        </is>
      </c>
    </row>
    <row r="35">
      <c r="L35" s="17" t="inlineStr">
        <is>
          <t>AREAS_COMUNES</t>
        </is>
      </c>
    </row>
    <row r="36">
      <c r="L36" s="17" t="inlineStr">
        <is>
          <t>PARA_LLEVAR</t>
        </is>
      </c>
    </row>
    <row r="37">
      <c r="L37" s="17" t="inlineStr">
        <is>
          <t>DELIVERY</t>
        </is>
      </c>
    </row>
    <row r="38">
      <c r="L38" s="17" t="inlineStr">
        <is>
          <t>RECEPCION</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F34"/>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26" customWidth="1" min="2" max="2"/>
    <col width="16" customWidth="1" min="3" max="3"/>
    <col width="7" customWidth="1" min="4" max="4"/>
    <col width="26" customWidth="1" min="5" max="5"/>
    <col width="70" customWidth="1" min="6" max="6"/>
  </cols>
  <sheetData>
    <row r="1" ht="34" customHeight="1">
      <c r="A1" s="9" t="inlineStr">
        <is>
          <t>tabla</t>
        </is>
      </c>
      <c r="B1" s="9" t="inlineStr">
        <is>
          <t>columna</t>
        </is>
      </c>
      <c r="C1" s="9" t="inlineStr">
        <is>
          <t>tipo_sql</t>
        </is>
      </c>
      <c r="D1" s="9" t="inlineStr">
        <is>
          <t>nulo</t>
        </is>
      </c>
      <c r="E1" s="9" t="inlineStr">
        <is>
          <t>clave</t>
        </is>
      </c>
      <c r="F1" s="9" t="inlineStr">
        <is>
          <t>descripcion</t>
        </is>
      </c>
    </row>
    <row r="2">
      <c r="A2" s="10" t="inlineStr">
        <is>
          <t>kb_minuta</t>
        </is>
      </c>
      <c r="B2" s="10" t="inlineStr">
        <is>
          <t>minuta_id</t>
        </is>
      </c>
      <c r="C2" s="10" t="inlineStr">
        <is>
          <t>VARCHAR(20)</t>
        </is>
      </c>
      <c r="D2" s="10" t="inlineStr">
        <is>
          <t>NO</t>
        </is>
      </c>
      <c r="E2" s="10" t="inlineStr">
        <is>
          <t>PK</t>
        </is>
      </c>
      <c r="F2" s="10" t="inlineStr">
        <is>
          <t>ID de la minuta manual (MH-001, MH-002…)</t>
        </is>
      </c>
    </row>
    <row r="3">
      <c r="A3" s="10" t="inlineStr">
        <is>
          <t>kb_minuta</t>
        </is>
      </c>
      <c r="B3" s="10" t="inlineStr">
        <is>
          <t>nombre_cliente … archivo_pdf</t>
        </is>
      </c>
      <c r="C3" s="10" t="inlineStr">
        <is>
          <t>según columna</t>
        </is>
      </c>
      <c r="D3" s="10" t="inlineStr">
        <is>
          <t>SÍ</t>
        </is>
      </c>
      <c r="E3" s="10" t="inlineStr"/>
      <c r="F3" s="10" t="inlineStr">
        <is>
          <t>Datos de cabecera de la minuta; fecha_visita DATE, hora TIME, pisos/cajas INT, velocidades NUMERIC(8,2)</t>
        </is>
      </c>
    </row>
    <row r="4">
      <c r="A4" s="10" t="inlineStr">
        <is>
          <t>kb_minuta</t>
        </is>
      </c>
      <c r="B4" s="10" t="inlineStr">
        <is>
          <t>estado_local, tipo_negocio, proveedor_internet, tipo_conexion, estado_final</t>
        </is>
      </c>
      <c r="C4" s="10" t="inlineStr">
        <is>
          <t>VARCHAR(30)</t>
        </is>
      </c>
      <c r="D4" s="10" t="inlineStr">
        <is>
          <t>SÍ</t>
        </is>
      </c>
      <c r="E4" s="10" t="inlineStr">
        <is>
          <t>catálogo</t>
        </is>
      </c>
      <c r="F4" s="10" t="inlineStr">
        <is>
          <t>Valores de la hoja catalogos (mismos códigos del flujo)</t>
        </is>
      </c>
    </row>
    <row r="5">
      <c r="A5" s="10" t="inlineStr">
        <is>
          <t>kb_minuta</t>
        </is>
      </c>
      <c r="B5" s="10" t="inlineStr">
        <is>
          <t>origen</t>
        </is>
      </c>
      <c r="C5" s="10" t="inlineStr">
        <is>
          <t>VARCHAR(20)</t>
        </is>
      </c>
      <c r="D5" s="10" t="inlineStr">
        <is>
          <t>NO</t>
        </is>
      </c>
      <c r="E5" s="10" t="inlineStr"/>
      <c r="F5" s="10" t="inlineStr">
        <is>
          <t>Siempre MANUAL_PDF para estas cargas (no la escribe el Excel)</t>
        </is>
      </c>
    </row>
    <row r="6">
      <c r="A6" s="10" t="inlineStr">
        <is>
          <t>kb_minuta</t>
        </is>
      </c>
      <c r="B6" s="10" t="inlineStr">
        <is>
          <t>n_respuestas, n_recomendaciones, n_acciones</t>
        </is>
      </c>
      <c r="C6" s="10" t="inlineStr">
        <is>
          <t>—</t>
        </is>
      </c>
      <c r="D6" s="10" t="inlineStr">
        <is>
          <t>—</t>
        </is>
      </c>
      <c r="E6" s="10" t="inlineStr"/>
      <c r="F6" s="10" t="inlineStr">
        <is>
          <t>Columnas calculadas del Excel: NO se cargan</t>
        </is>
      </c>
    </row>
    <row r="7">
      <c r="A7" s="10" t="inlineStr">
        <is>
          <t>kb_minuta_respuesta</t>
        </is>
      </c>
      <c r="B7" s="10" t="inlineStr">
        <is>
          <t>id</t>
        </is>
      </c>
      <c r="C7" s="10" t="inlineStr">
        <is>
          <t>BIGSERIAL</t>
        </is>
      </c>
      <c r="D7" s="10" t="inlineStr">
        <is>
          <t>NO</t>
        </is>
      </c>
      <c r="E7" s="10" t="inlineStr">
        <is>
          <t>PK</t>
        </is>
      </c>
      <c r="F7" s="10" t="inlineStr">
        <is>
          <t>Generado</t>
        </is>
      </c>
    </row>
    <row r="8">
      <c r="A8" s="10" t="inlineStr">
        <is>
          <t>kb_minuta_respuesta</t>
        </is>
      </c>
      <c r="B8" s="10" t="inlineStr">
        <is>
          <t>minuta_id</t>
        </is>
      </c>
      <c r="C8" s="10" t="inlineStr">
        <is>
          <t>VARCHAR(20)</t>
        </is>
      </c>
      <c r="D8" s="10" t="inlineStr">
        <is>
          <t>NO</t>
        </is>
      </c>
      <c r="E8" s="10" t="inlineStr">
        <is>
          <t>FK → kb_minuta</t>
        </is>
      </c>
      <c r="F8" s="10" t="inlineStr"/>
    </row>
    <row r="9">
      <c r="A9" s="10" t="inlineStr">
        <is>
          <t>kb_minuta_respuesta</t>
        </is>
      </c>
      <c r="B9" s="10" t="inlineStr">
        <is>
          <t>pregunta_id</t>
        </is>
      </c>
      <c r="C9" s="10" t="inlineStr">
        <is>
          <t>VARCHAR(10)</t>
        </is>
      </c>
      <c r="D9" s="10" t="inlineStr">
        <is>
          <t>NO</t>
        </is>
      </c>
      <c r="E9" s="10" t="inlineStr">
        <is>
          <t>ID del flujo</t>
        </is>
      </c>
      <c r="F9" s="10" t="inlineStr">
        <is>
          <t>P01…P54, U1…U8 (flujo_asistente_red.json)</t>
        </is>
      </c>
    </row>
    <row r="10">
      <c r="A10" s="10" t="inlineStr">
        <is>
          <t>kb_minuta_respuesta</t>
        </is>
      </c>
      <c r="B10" s="10" t="inlineStr">
        <is>
          <t>alcance</t>
        </is>
      </c>
      <c r="C10" s="10" t="inlineStr">
        <is>
          <t>VARCHAR(40)</t>
        </is>
      </c>
      <c r="D10" s="10" t="inlineStr">
        <is>
          <t>SÍ</t>
        </is>
      </c>
      <c r="E10" s="10" t="inlineStr"/>
      <c r="F10" s="10" t="inlineStr">
        <is>
          <t>Mismo formato del motor: L_CAJAS:1, L_IMPRESORAS:2 …</t>
        </is>
      </c>
    </row>
    <row r="11">
      <c r="A11" s="10" t="inlineStr">
        <is>
          <t>kb_minuta_respuesta</t>
        </is>
      </c>
      <c r="B11" s="10" t="inlineStr">
        <is>
          <t>valor</t>
        </is>
      </c>
      <c r="C11" s="10" t="inlineStr">
        <is>
          <t>TEXT</t>
        </is>
      </c>
      <c r="D11" s="10" t="inlineStr">
        <is>
          <t>NO</t>
        </is>
      </c>
      <c r="E11" s="10" t="inlineStr"/>
      <c r="F11" s="10" t="inlineStr">
        <is>
          <t>Código de opción (CHOICE), lista separada por comas (MULTI_SELECT) o texto</t>
        </is>
      </c>
    </row>
    <row r="12">
      <c r="A12" s="10" t="inlineStr">
        <is>
          <t>kb_minuta_respuesta</t>
        </is>
      </c>
      <c r="B12" s="10" t="inlineStr">
        <is>
          <t>confianza</t>
        </is>
      </c>
      <c r="C12" s="10" t="inlineStr">
        <is>
          <t>VARCHAR(10)</t>
        </is>
      </c>
      <c r="D12" s="10" t="inlineStr">
        <is>
          <t>NO</t>
        </is>
      </c>
      <c r="E12" s="10" t="inlineStr">
        <is>
          <t>catálogo</t>
        </is>
      </c>
      <c r="F12" s="10" t="inlineStr">
        <is>
          <t>EXPLICITO si la minuta lo dice; INFERIDO si se deduce</t>
        </is>
      </c>
    </row>
    <row r="13">
      <c r="A13" s="10" t="inlineStr">
        <is>
          <t>kb_minuta_hallazgo</t>
        </is>
      </c>
      <c r="B13" s="10" t="inlineStr">
        <is>
          <t>minuta_id, orden, seccion, texto, pregunta_id, regla_id</t>
        </is>
      </c>
      <c r="C13" s="10" t="inlineStr">
        <is>
          <t>—</t>
        </is>
      </c>
      <c r="D13" s="10" t="inlineStr"/>
      <c r="E13" s="10" t="inlineStr">
        <is>
          <t>FK → kb_minuta, kb_regla_recomendacion</t>
        </is>
      </c>
      <c r="F13" s="10" t="inlineStr">
        <is>
          <t>Antecedentes, desarrollo y observaciones de la minuta</t>
        </is>
      </c>
    </row>
    <row r="14">
      <c r="A14" s="10" t="inlineStr">
        <is>
          <t>kb_minuta_recomendacion</t>
        </is>
      </c>
      <c r="B14" s="10" t="inlineStr">
        <is>
          <t>minuta_id, orden, tipo, regla_id, texto_original</t>
        </is>
      </c>
      <c r="C14" s="10" t="inlineStr">
        <is>
          <t>—</t>
        </is>
      </c>
      <c r="D14" s="10" t="inlineStr"/>
      <c r="E14" s="10" t="inlineStr">
        <is>
          <t>FK → kb_minuta, kb_regla_recomendacion</t>
        </is>
      </c>
      <c r="F14" s="10" t="inlineStr">
        <is>
          <t>Recomendaciones y siguientes acciones tal como aparecen en el PDF, vinculadas a una regla</t>
        </is>
      </c>
    </row>
    <row r="15">
      <c r="A15" s="10" t="inlineStr">
        <is>
          <t>kb_minuta_equipo</t>
        </is>
      </c>
      <c r="B15" s="10" t="inlineStr">
        <is>
          <t>minuta_id, tipo_equipo, marca, modelo, ip, conexion, area, cantidad, nota</t>
        </is>
      </c>
      <c r="C15" s="10" t="inlineStr">
        <is>
          <t>—</t>
        </is>
      </c>
      <c r="D15" s="10" t="inlineStr"/>
      <c r="E15" s="10" t="inlineStr">
        <is>
          <t>FK → kb_minuta</t>
        </is>
      </c>
      <c r="F15" s="10" t="inlineStr">
        <is>
          <t>Equipos vistos en la visita</t>
        </is>
      </c>
    </row>
    <row r="16">
      <c r="A16" s="10" t="inlineStr">
        <is>
          <t>kb_minuta_evidencia</t>
        </is>
      </c>
      <c r="B16" s="10" t="inlineStr">
        <is>
          <t>minuta_id, codigo_evidencia, descripcion, archivo_o_pagina, nota</t>
        </is>
      </c>
      <c r="C16" s="10" t="inlineStr">
        <is>
          <t>—</t>
        </is>
      </c>
      <c r="D16" s="10" t="inlineStr"/>
      <c r="E16" s="10" t="inlineStr">
        <is>
          <t>FK → kb_minuta</t>
        </is>
      </c>
      <c r="F16" s="10" t="inlineStr">
        <is>
          <t>Fotos, mapas y videos de la minuta (solo referencia, no se suben archivos)</t>
        </is>
      </c>
    </row>
    <row r="17">
      <c r="A17" s="10" t="inlineStr">
        <is>
          <t>kb_minuta_credencial</t>
        </is>
      </c>
      <c r="B17" s="10" t="inlineStr">
        <is>
          <t>minuta_id, tipo, equipo_o_area, usuario_o_ssid, evidencia, nota</t>
        </is>
      </c>
      <c r="C17" s="10" t="inlineStr">
        <is>
          <t>—</t>
        </is>
      </c>
      <c r="D17" s="10" t="inlineStr"/>
      <c r="E17" s="10" t="inlineStr">
        <is>
          <t>FK → kb_minuta</t>
        </is>
      </c>
      <c r="F17" s="10" t="inlineStr">
        <is>
          <t>CONFIDENCIAL. Credenciales leídas de la evidencia (WiFi, router, AnyDesk, usuario de equipo)</t>
        </is>
      </c>
    </row>
    <row r="18">
      <c r="A18" s="10" t="inlineStr">
        <is>
          <t>kb_minuta_credencial</t>
        </is>
      </c>
      <c r="B18" s="10" t="inlineStr">
        <is>
          <t>clave_o_id</t>
        </is>
      </c>
      <c r="C18" s="10" t="inlineStr">
        <is>
          <t>BYTEA</t>
        </is>
      </c>
      <c r="D18" s="10" t="inlineStr">
        <is>
          <t>SÍ</t>
        </is>
      </c>
      <c r="E18" s="10" t="inlineStr"/>
      <c r="F18" s="10" t="inlineStr">
        <is>
          <t>Cifrada con pgcrypto (pgp_sym_encrypt); la llave va en una variable de entorno, nunca en el código. Solo ADMIN puede leerla</t>
        </is>
      </c>
    </row>
    <row r="19">
      <c r="A19" s="10" t="inlineStr">
        <is>
          <t>kb_regla_recomendacion</t>
        </is>
      </c>
      <c r="B19" s="10" t="inlineStr">
        <is>
          <t>regla_id</t>
        </is>
      </c>
      <c r="C19" s="10" t="inlineStr">
        <is>
          <t>VARCHAR(10)</t>
        </is>
      </c>
      <c r="D19" s="10" t="inlineStr">
        <is>
          <t>NO</t>
        </is>
      </c>
      <c r="E19" s="10" t="inlineStr">
        <is>
          <t>PK</t>
        </is>
      </c>
      <c r="F19" s="10" t="inlineStr">
        <is>
          <t>R01…, A01… (acciones estándar)</t>
        </is>
      </c>
    </row>
    <row r="20">
      <c r="A20" s="10" t="inlineStr">
        <is>
          <t>kb_regla_recomendacion</t>
        </is>
      </c>
      <c r="B20" s="10" t="inlineStr">
        <is>
          <t>condicion_json</t>
        </is>
      </c>
      <c r="C20" s="10" t="inlineStr">
        <is>
          <t>JSONB</t>
        </is>
      </c>
      <c r="D20" s="10" t="inlineStr">
        <is>
          <t>SÍ</t>
        </is>
      </c>
      <c r="E20" s="10" t="inlineStr"/>
      <c r="F20" s="10" t="inlineStr">
        <is>
          <t>Misma sintaxis de condiciones del flujo ($P16, eq, in, or…). {"manual":…} = la marca el técnico</t>
        </is>
      </c>
    </row>
    <row r="21">
      <c r="A21" s="10" t="inlineStr">
        <is>
          <t>kb_regla_recomendacion</t>
        </is>
      </c>
      <c r="B21" s="10" t="inlineStr">
        <is>
          <t>equipo_id</t>
        </is>
      </c>
      <c r="C21" s="10" t="inlineStr">
        <is>
          <t>VARCHAR(20)</t>
        </is>
      </c>
      <c r="D21" s="10" t="inlineStr">
        <is>
          <t>SÍ</t>
        </is>
      </c>
      <c r="E21" s="10" t="inlineStr">
        <is>
          <t>FK → kb_equipo</t>
        </is>
      </c>
      <c r="F21" s="10" t="inlineStr"/>
    </row>
    <row r="22">
      <c r="A22" s="10" t="inlineStr">
        <is>
          <t>kb_regla_recomendacion</t>
        </is>
      </c>
      <c r="B22" s="10" t="inlineStr">
        <is>
          <t>veces_en_minutas, minutas_distintas, veces_como_hallazgo</t>
        </is>
      </c>
      <c r="C22" s="10" t="inlineStr">
        <is>
          <t>—</t>
        </is>
      </c>
      <c r="D22" s="10" t="inlineStr">
        <is>
          <t>—</t>
        </is>
      </c>
      <c r="E22" s="10" t="inlineStr"/>
      <c r="F22" s="10" t="inlineStr">
        <is>
          <t>Calculadas en el Excel; en la base se calculan con una vista</t>
        </is>
      </c>
    </row>
    <row r="23">
      <c r="A23" s="10" t="inlineStr">
        <is>
          <t>kb_regla_validacion</t>
        </is>
      </c>
      <c r="B23" s="10" t="inlineStr">
        <is>
          <t>validacion_id …</t>
        </is>
      </c>
      <c r="C23" s="10" t="inlineStr">
        <is>
          <t>—</t>
        </is>
      </c>
      <c r="D23" s="10" t="inlineStr"/>
      <c r="E23" s="10" t="inlineStr">
        <is>
          <t>PK validacion_id</t>
        </is>
      </c>
      <c r="F23" s="10" t="inlineStr">
        <is>
          <t>Reglas V01–V10 de app/chat/checks.py (referencia)</t>
        </is>
      </c>
    </row>
    <row r="24">
      <c r="A24" s="10" t="inlineStr">
        <is>
          <t>kb_equipo</t>
        </is>
      </c>
      <c r="B24" s="10" t="inlineStr">
        <is>
          <t>equipo_id …</t>
        </is>
      </c>
      <c r="C24" s="10" t="inlineStr">
        <is>
          <t>—</t>
        </is>
      </c>
      <c r="D24" s="10" t="inlineStr"/>
      <c r="E24" s="10" t="inlineStr">
        <is>
          <t>PK equipo_id</t>
        </is>
      </c>
      <c r="F24" s="10" t="inlineStr">
        <is>
          <t>Catálogo de equipos recomendables</t>
        </is>
      </c>
    </row>
    <row r="25">
      <c r="A25" s="10" t="inlineStr">
        <is>
          <t>kb_umbral</t>
        </is>
      </c>
      <c r="B25" s="10" t="inlineStr">
        <is>
          <t>clave, valor, unidad, descripcion, origen</t>
        </is>
      </c>
      <c r="C25" s="10" t="inlineStr">
        <is>
          <t>—</t>
        </is>
      </c>
      <c r="D25" s="10" t="inlineStr"/>
      <c r="E25" s="10" t="inlineStr">
        <is>
          <t>PK clave</t>
        </is>
      </c>
      <c r="F25" s="10" t="inlineStr">
        <is>
          <t>Umbrales hoy fijos en proposal.py / checks.py</t>
        </is>
      </c>
    </row>
    <row r="26">
      <c r="A26" s="10" t="inlineStr">
        <is>
          <t>ref_preguntas</t>
        </is>
      </c>
      <c r="B26" s="10" t="inlineStr">
        <is>
          <t>—</t>
        </is>
      </c>
      <c r="C26" s="10" t="inlineStr">
        <is>
          <t>—</t>
        </is>
      </c>
      <c r="D26" s="10" t="inlineStr">
        <is>
          <t>—</t>
        </is>
      </c>
      <c r="E26" s="10" t="inlineStr"/>
      <c r="F26" s="10" t="inlineStr">
        <is>
          <t>Solo referencia para elegir pregunta_id; NO se carga. P12a es una pregunta PROPUESTA</t>
        </is>
      </c>
    </row>
    <row r="27">
      <c r="A27" s="10" t="inlineStr">
        <is>
          <t>kb_decision_impresion</t>
        </is>
      </c>
      <c r="B27" s="10" t="inlineStr">
        <is>
          <t>caso_id …</t>
        </is>
      </c>
      <c r="C27" s="10" t="inlineStr">
        <is>
          <t>—</t>
        </is>
      </c>
      <c r="D27" s="10" t="inlineStr"/>
      <c r="E27" s="10" t="inlineStr">
        <is>
          <t>PK caso_id; regla_id FK</t>
        </is>
      </c>
      <c r="F27" s="10" t="inlineStr">
        <is>
          <t>Tabla de decisión de impresión IDPos: comandas sí/no × PC/laptop/no hay × USB/red</t>
        </is>
      </c>
    </row>
    <row r="28">
      <c r="A28" s="10" t="inlineStr">
        <is>
          <t>revisar_vs_regla</t>
        </is>
      </c>
      <c r="B28" s="10" t="inlineStr">
        <is>
          <t>—</t>
        </is>
      </c>
      <c r="C28" s="10" t="inlineStr">
        <is>
          <t>—</t>
        </is>
      </c>
      <c r="D28" s="10" t="inlineStr">
        <is>
          <t>—</t>
        </is>
      </c>
      <c r="E28" s="10" t="inlineStr"/>
      <c r="F28" s="10" t="inlineStr">
        <is>
          <t>Minutas cuya recomendación no coincide con la regla de negocio; NO se carga</t>
        </is>
      </c>
    </row>
    <row r="29">
      <c r="A29" s="10" t="inlineStr">
        <is>
          <t>kb_decision_internet</t>
        </is>
      </c>
      <c r="B29" s="10" t="inlineStr">
        <is>
          <t>caso_id …</t>
        </is>
      </c>
      <c r="C29" s="10" t="inlineStr">
        <is>
          <t>—</t>
        </is>
      </c>
      <c r="D29" s="10" t="inlineStr"/>
      <c r="E29" s="10" t="inlineStr">
        <is>
          <t>PK caso_id; regla_id FK</t>
        </is>
      </c>
      <c r="F29" s="10" t="inlineStr">
        <is>
          <t>Tabla de decisión de internet: fibra/coaxial, comandas y señal de chip</t>
        </is>
      </c>
    </row>
    <row r="30">
      <c r="A30" s="10" t="inlineStr">
        <is>
          <t>kb_area_preparacion</t>
        </is>
      </c>
      <c r="B30" s="10" t="inlineStr">
        <is>
          <t>area, etiqueta, es_preparacion</t>
        </is>
      </c>
      <c r="C30" s="10" t="inlineStr">
        <is>
          <t>—</t>
        </is>
      </c>
      <c r="D30" s="10" t="inlineStr"/>
      <c r="E30" s="10" t="inlineStr">
        <is>
          <t>PK area</t>
        </is>
      </c>
      <c r="F30" s="10" t="inlineStr">
        <is>
          <t>Qué áreas cuentan como preparación (definen si el negocio necesita comandas)</t>
        </is>
      </c>
    </row>
    <row r="31">
      <c r="A31" s="10" t="inlineStr">
        <is>
          <t>kb_texto_minuta</t>
        </is>
      </c>
      <c r="B31" s="10" t="inlineStr">
        <is>
          <t>clave, seccion_minuta, texto, cuando_se_muestra</t>
        </is>
      </c>
      <c r="C31" s="10" t="inlineStr">
        <is>
          <t>—</t>
        </is>
      </c>
      <c r="D31" s="10" t="inlineStr"/>
      <c r="E31" s="10" t="inlineStr">
        <is>
          <t>PK clave</t>
        </is>
      </c>
      <c r="F31" s="10" t="inlineStr">
        <is>
          <t>Textos fijos de la minuta (aviso de viabilidad)</t>
        </is>
      </c>
    </row>
    <row r="32">
      <c r="A32" s="10" t="inlineStr">
        <is>
          <t>kb_tramo_plan</t>
        </is>
      </c>
      <c r="B32" s="10" t="inlineStr">
        <is>
          <t>tramo, desde_mbps, hasta_mbps, puntaje_conectividad, fuente</t>
        </is>
      </c>
      <c r="C32" s="10" t="inlineStr">
        <is>
          <t>—</t>
        </is>
      </c>
      <c r="D32" s="10" t="inlineStr"/>
      <c r="E32" s="10" t="inlineStr">
        <is>
          <t>PK tramo</t>
        </is>
      </c>
      <c r="F32" s="10" t="inlineStr">
        <is>
          <t>Puntaje de Conectividad según el plan contratado (P15)</t>
        </is>
      </c>
    </row>
    <row r="33">
      <c r="A33" s="10" t="inlineStr">
        <is>
          <t>kb_puntaje_conectividad</t>
        </is>
      </c>
      <c r="B33" s="10" t="inlineStr">
        <is>
          <t>caso, situacion, plan_contratado, puntaje_conectividad, estado_minuta, recomendacion, regla_id</t>
        </is>
      </c>
      <c r="C33" s="10" t="inlineStr">
        <is>
          <t>—</t>
        </is>
      </c>
      <c r="D33" s="10" t="inlineStr"/>
      <c r="E33" s="10" t="inlineStr">
        <is>
          <t>PK caso</t>
        </is>
      </c>
      <c r="F33" s="10" t="inlineStr">
        <is>
          <t>Casos de Conectividad combinando plan, cobertura WiFi y cámaras</t>
        </is>
      </c>
    </row>
    <row r="34">
      <c r="A34" s="10" t="inlineStr">
        <is>
          <t>kb_requisito_equipo</t>
        </is>
      </c>
      <c r="B34" s="10" t="inlineStr">
        <is>
          <t>equipo, necesita_punto_red_cerca, necesita_energia_cerca, nota</t>
        </is>
      </c>
      <c r="C34" s="10" t="inlineStr">
        <is>
          <t>—</t>
        </is>
      </c>
      <c r="D34" s="10" t="inlineStr"/>
      <c r="E34" s="10" t="inlineStr">
        <is>
          <t>PK equipo</t>
        </is>
      </c>
      <c r="F34" s="10" t="inlineStr">
        <is>
          <t>Qué necesita cerca cada equipo de red (punto de red y/o energía)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2026-10-12T01:59:43Z</dcterms:created>
  <dcterms:modified xmlns:dcterms="http://purl.org/dc/terms/" xmlns:xsi="http://www.w3.org/2001/XMLSchema-instance" xsi:type="dcterms:W3CDTF">2026-10-12T02:01:48Z</dcterms:modified>
</cp:coreProperties>
</file>